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060A7868-D208-4BAC-A0CA-0DB78018599A}" xr6:coauthVersionLast="47" xr6:coauthVersionMax="47" xr10:uidLastSave="{00000000-0000-0000-0000-000000000000}"/>
  <bookViews>
    <workbookView xWindow="-120" yWindow="-120" windowWidth="20730" windowHeight="11040" xr2:uid="{BA6D347F-1528-4543-AFDF-0A26839E7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N10" i="1"/>
  <c r="C10" i="1"/>
  <c r="D10" i="1" s="1"/>
  <c r="E10" i="1" s="1"/>
</calcChain>
</file>

<file path=xl/sharedStrings.xml><?xml version="1.0" encoding="utf-8"?>
<sst xmlns="http://schemas.openxmlformats.org/spreadsheetml/2006/main" count="45" uniqueCount="30">
  <si>
    <t>ABS(IF((O7/I7)*100&gt;100;100;(O7/I7)*100))</t>
  </si>
  <si>
    <t>Bulan</t>
  </si>
  <si>
    <t>Komponen Distribusi Akselerasi Kontrak</t>
  </si>
  <si>
    <t>Komponen Akselesari Kontrak Dini</t>
  </si>
  <si>
    <t>Komponen Akselerasi Belanja 53</t>
  </si>
  <si>
    <t>Nilai IKPA</t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</si>
  <si>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</rPr>
      <t xml:space="preserve"> Kontrak</t>
    </r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</si>
  <si>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  <scheme val="minor"/>
      </rPr>
      <t xml:space="preserve"> Kontrak s.d. Tw 3</t>
    </r>
  </si>
  <si>
    <t>Rasio</t>
  </si>
  <si>
    <t>Nilai Komponen</t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</si>
  <si>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</rPr>
      <t xml:space="preserve"> Kontrak TW 1</t>
    </r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</si>
  <si>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  <scheme val="minor"/>
      </rPr>
      <t xml:space="preserve"> Kontrak Akselerasi</t>
    </r>
  </si>
  <si>
    <r>
      <rPr>
        <sz val="11"/>
        <color theme="1"/>
        <rFont val="Symbol"/>
        <family val="1"/>
        <charset val="2"/>
      </rPr>
      <t>å</t>
    </r>
    <r>
      <rPr>
        <sz val="11"/>
        <color theme="1"/>
        <rFont val="Calibri"/>
        <family val="2"/>
      </rPr>
      <t xml:space="preserve"> Kontrak Belanja 53</t>
    </r>
  </si>
  <si>
    <t>Jan</t>
  </si>
  <si>
    <t>Feb</t>
  </si>
  <si>
    <t>Maret</t>
  </si>
  <si>
    <t>TW 1</t>
  </si>
  <si>
    <t>Aprl</t>
  </si>
  <si>
    <t>Mei</t>
  </si>
  <si>
    <t>Juni</t>
  </si>
  <si>
    <t>TW 2</t>
  </si>
  <si>
    <t>Juli</t>
  </si>
  <si>
    <t>Agust</t>
  </si>
  <si>
    <t>Sept</t>
  </si>
  <si>
    <t>TW 3</t>
  </si>
  <si>
    <t>Okt</t>
  </si>
  <si>
    <t>Nov</t>
  </si>
  <si>
    <t>Des</t>
  </si>
  <si>
    <t>TW 4</t>
  </si>
  <si>
    <t>BLOKIR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</si>
</sst>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41" fontId="0" fillId="0" borderId="0" xfId="1" applyFont="1" applyFill="1" applyAlignment="1">
      <alignment horizontal="center" vertical="center"/>
    </xf>
    <xf numFmtId="41" fontId="0" fillId="0" borderId="0" xfId="1" quotePrefix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2" xfId="1" applyFont="1" applyFill="1" applyBorder="1" applyAlignment="1">
      <alignment horizontal="center" vertical="center"/>
    </xf>
    <xf numFmtId="41" fontId="0" fillId="2" borderId="3" xfId="1" applyFont="1" applyFill="1" applyBorder="1" applyAlignment="1">
      <alignment horizontal="center" vertical="center"/>
    </xf>
    <xf numFmtId="41" fontId="0" fillId="2" borderId="4" xfId="1" applyFont="1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41" fontId="0" fillId="0" borderId="1" xfId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right" vertical="center"/>
    </xf>
    <xf numFmtId="164" fontId="0" fillId="0" borderId="1" xfId="1" applyNumberFormat="1" applyFont="1" applyFill="1" applyBorder="1" applyAlignment="1">
      <alignment horizontal="center" vertical="center"/>
    </xf>
    <xf numFmtId="43" fontId="0" fillId="0" borderId="0" xfId="0" applyNumberFormat="1"/>
    <xf numFmtId="1" fontId="0" fillId="0" borderId="0" xfId="0" applyNumberFormat="1"/>
    <xf numFmtId="41" fontId="0" fillId="3" borderId="1" xfId="1" applyFont="1" applyFill="1" applyBorder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4335-CDB3-4256-99B1-6ACA36293527}">
  <dimension ref="A1:N32"/>
  <sheetViews>
    <sheetView tabSelected="1" topLeftCell="A13" workbookViewId="0">
      <selection activeCell="E27" sqref="E27"/>
    </sheetView>
  </sheetViews>
  <sheetFormatPr defaultRowHeight="15"/>
  <cols>
    <col min="1" max="1" width="9.140625" style="1"/>
    <col min="2" max="2" width="16.85546875" style="2" bestFit="1" customWidth="1"/>
    <col min="3" max="3" width="15.7109375" style="2" bestFit="1" customWidth="1"/>
    <col min="4" max="4" width="14.5703125" style="2" bestFit="1" customWidth="1"/>
    <col min="5" max="5" width="14.5703125" style="2" customWidth="1"/>
    <col min="6" max="8" width="10.5703125" style="2" customWidth="1"/>
    <col min="9" max="9" width="16.85546875" style="2" bestFit="1" customWidth="1"/>
    <col min="10" max="10" width="15.7109375" style="2" bestFit="1" customWidth="1"/>
    <col min="11" max="11" width="14.5703125" style="2" bestFit="1" customWidth="1"/>
    <col min="12" max="12" width="9.140625" style="4"/>
    <col min="13" max="13" width="9.140625" style="1"/>
  </cols>
  <sheetData>
    <row r="1" spans="1:14">
      <c r="C1" s="3" t="s">
        <v>0</v>
      </c>
    </row>
    <row r="3" spans="1:14">
      <c r="A3" s="5" t="s">
        <v>1</v>
      </c>
      <c r="B3" s="6" t="s">
        <v>2</v>
      </c>
      <c r="C3" s="7"/>
      <c r="D3" s="7"/>
      <c r="E3" s="8"/>
      <c r="F3" s="9" t="s">
        <v>3</v>
      </c>
      <c r="G3" s="9"/>
      <c r="H3" s="9"/>
      <c r="I3" s="9" t="s">
        <v>4</v>
      </c>
      <c r="J3" s="9"/>
      <c r="K3" s="9"/>
      <c r="L3" s="10" t="s">
        <v>5</v>
      </c>
    </row>
    <row r="4" spans="1:14" s="15" customFormat="1" ht="45">
      <c r="A4" s="5"/>
      <c r="B4" s="11" t="s">
        <v>6</v>
      </c>
      <c r="C4" s="12" t="s">
        <v>7</v>
      </c>
      <c r="D4" s="13" t="s">
        <v>8</v>
      </c>
      <c r="E4" s="13" t="s">
        <v>9</v>
      </c>
      <c r="F4" s="11" t="s">
        <v>10</v>
      </c>
      <c r="G4" s="12" t="s">
        <v>11</v>
      </c>
      <c r="H4" s="13" t="s">
        <v>9</v>
      </c>
      <c r="I4" s="11" t="s">
        <v>12</v>
      </c>
      <c r="J4" s="12" t="s">
        <v>11</v>
      </c>
      <c r="K4" s="13" t="s">
        <v>9</v>
      </c>
      <c r="L4" s="10"/>
      <c r="M4" s="14"/>
    </row>
    <row r="5" spans="1:14" ht="18" customHeight="1">
      <c r="A5" s="16" t="s">
        <v>13</v>
      </c>
      <c r="B5" s="17">
        <v>0.15</v>
      </c>
      <c r="C5" s="17">
        <v>0.15</v>
      </c>
      <c r="D5" s="17">
        <v>0.15</v>
      </c>
      <c r="E5" s="17">
        <v>0.15</v>
      </c>
      <c r="F5" s="17">
        <v>0.15</v>
      </c>
      <c r="G5" s="17">
        <v>0.15</v>
      </c>
      <c r="H5" s="17">
        <v>0.15</v>
      </c>
      <c r="I5" s="17">
        <v>0.15</v>
      </c>
      <c r="J5" s="17">
        <v>0.15</v>
      </c>
      <c r="K5" s="17">
        <v>0.15</v>
      </c>
      <c r="L5" s="17">
        <v>0</v>
      </c>
    </row>
    <row r="6" spans="1:14" ht="18" customHeight="1">
      <c r="A6" s="16" t="s">
        <v>14</v>
      </c>
      <c r="B6" s="17">
        <v>0.15</v>
      </c>
      <c r="C6" s="17">
        <v>0.15</v>
      </c>
      <c r="D6" s="17">
        <v>0.15</v>
      </c>
      <c r="E6" s="17">
        <v>0.15</v>
      </c>
      <c r="F6" s="17">
        <v>0.15</v>
      </c>
      <c r="G6" s="17">
        <v>0.15</v>
      </c>
      <c r="H6" s="17">
        <v>0.15</v>
      </c>
      <c r="I6" s="17">
        <v>0.15</v>
      </c>
      <c r="J6" s="17">
        <v>0.15</v>
      </c>
      <c r="K6" s="17">
        <v>0.15</v>
      </c>
      <c r="L6" s="17">
        <v>0</v>
      </c>
    </row>
    <row r="7" spans="1:14" ht="18" customHeight="1">
      <c r="A7" s="16" t="s">
        <v>15</v>
      </c>
      <c r="B7" s="17">
        <v>0.15</v>
      </c>
      <c r="C7" s="17">
        <v>0.15</v>
      </c>
      <c r="D7" s="17">
        <v>0.15</v>
      </c>
      <c r="E7" s="17">
        <v>0.15</v>
      </c>
      <c r="F7" s="17">
        <v>0.15</v>
      </c>
      <c r="G7" s="17">
        <v>0.15</v>
      </c>
      <c r="H7" s="17">
        <v>0.15</v>
      </c>
      <c r="I7" s="17">
        <v>0.15</v>
      </c>
      <c r="J7" s="17">
        <v>0.15</v>
      </c>
      <c r="K7" s="17">
        <v>0.15</v>
      </c>
      <c r="L7" s="17">
        <v>0</v>
      </c>
      <c r="M7" s="1" t="s">
        <v>16</v>
      </c>
    </row>
    <row r="8" spans="1:14" ht="18" customHeight="1">
      <c r="A8" s="16" t="s">
        <v>17</v>
      </c>
      <c r="B8" s="17">
        <v>0.15</v>
      </c>
      <c r="C8" s="17">
        <v>0.15</v>
      </c>
      <c r="D8" s="17">
        <v>0.15</v>
      </c>
      <c r="E8" s="17">
        <v>0.15</v>
      </c>
      <c r="F8" s="17">
        <v>0.15</v>
      </c>
      <c r="G8" s="17">
        <v>0.15</v>
      </c>
      <c r="H8" s="17">
        <v>0.15</v>
      </c>
      <c r="I8" s="17">
        <v>0.15</v>
      </c>
      <c r="J8" s="17">
        <v>0.15</v>
      </c>
      <c r="K8" s="17">
        <v>0.15</v>
      </c>
      <c r="L8" s="17">
        <v>0</v>
      </c>
    </row>
    <row r="9" spans="1:14" ht="18" customHeight="1">
      <c r="A9" s="16" t="s">
        <v>18</v>
      </c>
      <c r="B9" s="17">
        <v>0.15</v>
      </c>
      <c r="C9" s="17">
        <v>0.15</v>
      </c>
      <c r="D9" s="17">
        <v>0.15</v>
      </c>
      <c r="E9" s="17">
        <v>0.15</v>
      </c>
      <c r="F9" s="17">
        <v>0.15</v>
      </c>
      <c r="G9" s="17">
        <v>0.15</v>
      </c>
      <c r="H9" s="17">
        <v>0.15</v>
      </c>
      <c r="I9" s="17">
        <v>0.15</v>
      </c>
      <c r="J9" s="17">
        <v>0.15</v>
      </c>
      <c r="K9" s="17">
        <v>0.15</v>
      </c>
      <c r="L9" s="17">
        <v>0</v>
      </c>
    </row>
    <row r="10" spans="1:14" ht="18" customHeight="1">
      <c r="A10" s="16" t="s">
        <v>19</v>
      </c>
      <c r="B10" s="17">
        <v>1</v>
      </c>
      <c r="C10" s="17">
        <f t="shared" ref="C10:C16" si="0">B10</f>
        <v>1</v>
      </c>
      <c r="D10" s="18">
        <f>B10/C10</f>
        <v>1</v>
      </c>
      <c r="E10" s="17">
        <f>IF(D10&gt;80%,100)</f>
        <v>100</v>
      </c>
      <c r="F10" s="17">
        <v>0.15</v>
      </c>
      <c r="G10" s="17">
        <v>0.15</v>
      </c>
      <c r="H10" s="17">
        <v>0.15</v>
      </c>
      <c r="I10" s="17">
        <v>0.15</v>
      </c>
      <c r="J10" s="17">
        <v>0.15</v>
      </c>
      <c r="K10" s="17">
        <v>0.15</v>
      </c>
      <c r="L10" s="19"/>
      <c r="M10" s="1" t="s">
        <v>20</v>
      </c>
      <c r="N10" s="20">
        <f>L10-93.33</f>
        <v>-93.33</v>
      </c>
    </row>
    <row r="11" spans="1:14" ht="18" customHeight="1">
      <c r="A11" s="16" t="s">
        <v>21</v>
      </c>
      <c r="B11" s="17">
        <v>1</v>
      </c>
      <c r="C11" s="17">
        <f t="shared" si="0"/>
        <v>1</v>
      </c>
      <c r="D11" s="18">
        <f>B11/C11</f>
        <v>1</v>
      </c>
      <c r="E11" s="17"/>
      <c r="F11" s="17">
        <v>0.15</v>
      </c>
      <c r="G11" s="17">
        <v>0.15</v>
      </c>
      <c r="H11" s="17">
        <v>0.15</v>
      </c>
      <c r="I11" s="17">
        <v>0.15</v>
      </c>
      <c r="J11" s="17">
        <v>0.15</v>
      </c>
      <c r="K11" s="17">
        <v>0.15</v>
      </c>
      <c r="L11" s="17"/>
    </row>
    <row r="12" spans="1:14" ht="18" customHeight="1">
      <c r="A12" s="16" t="s">
        <v>22</v>
      </c>
      <c r="B12" s="17">
        <v>1</v>
      </c>
      <c r="C12" s="17">
        <f t="shared" si="0"/>
        <v>1</v>
      </c>
      <c r="D12" s="18">
        <f>B12/C12</f>
        <v>1</v>
      </c>
      <c r="E12" s="17"/>
      <c r="F12" s="17">
        <v>0.15</v>
      </c>
      <c r="G12" s="17">
        <v>0.15</v>
      </c>
      <c r="H12" s="17">
        <v>0.15</v>
      </c>
      <c r="I12" s="17">
        <v>0.15</v>
      </c>
      <c r="J12" s="17">
        <v>0.15</v>
      </c>
      <c r="K12" s="17">
        <v>0.15</v>
      </c>
      <c r="L12" s="17"/>
    </row>
    <row r="13" spans="1:14" ht="18" customHeight="1">
      <c r="A13" s="16" t="s">
        <v>23</v>
      </c>
      <c r="B13" s="17">
        <v>1</v>
      </c>
      <c r="C13" s="17">
        <f t="shared" si="0"/>
        <v>1</v>
      </c>
      <c r="D13" s="18">
        <f>B13/C13</f>
        <v>1</v>
      </c>
      <c r="E13" s="17"/>
      <c r="F13" s="17">
        <v>0.15</v>
      </c>
      <c r="G13" s="17">
        <v>0.15</v>
      </c>
      <c r="H13" s="17">
        <v>0.15</v>
      </c>
      <c r="I13" s="17">
        <v>0.15</v>
      </c>
      <c r="J13" s="17">
        <v>0.15</v>
      </c>
      <c r="K13" s="17">
        <v>0.15</v>
      </c>
      <c r="L13" s="17"/>
      <c r="M13" s="1" t="s">
        <v>24</v>
      </c>
    </row>
    <row r="14" spans="1:14" ht="18" customHeight="1">
      <c r="A14" s="16" t="s">
        <v>25</v>
      </c>
      <c r="B14" s="17">
        <v>0</v>
      </c>
      <c r="C14" s="17">
        <f t="shared" si="0"/>
        <v>0</v>
      </c>
      <c r="D14" s="18" t="e">
        <f t="shared" ref="D14:D16" si="1">B14/C14</f>
        <v>#DIV/0!</v>
      </c>
      <c r="E14" s="17"/>
      <c r="F14" s="17">
        <v>0.15</v>
      </c>
      <c r="G14" s="17">
        <v>0.15</v>
      </c>
      <c r="H14" s="17">
        <v>0.15</v>
      </c>
      <c r="I14" s="17">
        <v>0.15</v>
      </c>
      <c r="J14" s="17">
        <v>0.15</v>
      </c>
      <c r="K14" s="17">
        <v>0.15</v>
      </c>
      <c r="L14" s="17"/>
    </row>
    <row r="15" spans="1:14" ht="18" customHeight="1">
      <c r="A15" s="16" t="s">
        <v>26</v>
      </c>
      <c r="B15" s="17">
        <v>0</v>
      </c>
      <c r="C15" s="17">
        <f t="shared" si="0"/>
        <v>0</v>
      </c>
      <c r="D15" s="18" t="e">
        <f t="shared" si="1"/>
        <v>#DIV/0!</v>
      </c>
      <c r="E15" s="17"/>
      <c r="F15" s="17">
        <v>0.15</v>
      </c>
      <c r="G15" s="17">
        <v>0.15</v>
      </c>
      <c r="H15" s="17">
        <v>0.15</v>
      </c>
      <c r="I15" s="17">
        <v>0.15</v>
      </c>
      <c r="J15" s="17">
        <v>0.15</v>
      </c>
      <c r="K15" s="17">
        <v>0.15</v>
      </c>
      <c r="L15" s="17"/>
    </row>
    <row r="16" spans="1:14" ht="18" customHeight="1">
      <c r="A16" s="16" t="s">
        <v>27</v>
      </c>
      <c r="B16" s="17">
        <v>0</v>
      </c>
      <c r="C16" s="17">
        <f t="shared" si="0"/>
        <v>0</v>
      </c>
      <c r="D16" s="18" t="e">
        <f t="shared" si="1"/>
        <v>#DIV/0!</v>
      </c>
      <c r="E16" s="17"/>
      <c r="F16" s="17">
        <v>0.15</v>
      </c>
      <c r="G16" s="17">
        <v>0.15</v>
      </c>
      <c r="H16" s="17">
        <v>0.15</v>
      </c>
      <c r="I16" s="17">
        <v>0.15</v>
      </c>
      <c r="J16" s="17">
        <v>0.15</v>
      </c>
      <c r="K16" s="17">
        <v>0.15</v>
      </c>
      <c r="L16" s="17"/>
      <c r="M16" s="1" t="s">
        <v>28</v>
      </c>
    </row>
    <row r="17" spans="1:13">
      <c r="I17" s="17"/>
      <c r="L17" s="21"/>
    </row>
    <row r="18" spans="1:13">
      <c r="L18"/>
    </row>
    <row r="19" spans="1:13">
      <c r="B19" s="22" t="s">
        <v>29</v>
      </c>
      <c r="C19" s="22"/>
      <c r="D19" s="22"/>
      <c r="E19" s="23"/>
    </row>
    <row r="20" spans="1:13">
      <c r="B20" s="24">
        <v>51</v>
      </c>
      <c r="C20" s="24">
        <v>52</v>
      </c>
      <c r="D20" s="24">
        <v>53</v>
      </c>
      <c r="E20" s="25"/>
    </row>
    <row r="21" spans="1:13">
      <c r="A21" s="16" t="s">
        <v>13</v>
      </c>
      <c r="B21" s="17">
        <v>0</v>
      </c>
      <c r="C21" s="17">
        <v>0</v>
      </c>
      <c r="D21" s="17">
        <v>0</v>
      </c>
      <c r="E21" s="26"/>
    </row>
    <row r="22" spans="1:13">
      <c r="A22" s="16" t="s">
        <v>14</v>
      </c>
      <c r="B22" s="17">
        <v>0</v>
      </c>
      <c r="C22" s="17">
        <v>0</v>
      </c>
      <c r="D22" s="17">
        <v>0</v>
      </c>
      <c r="E22" s="26"/>
    </row>
    <row r="23" spans="1:13">
      <c r="A23" s="16" t="s">
        <v>15</v>
      </c>
      <c r="B23" s="17">
        <v>0</v>
      </c>
      <c r="C23" s="17">
        <v>0</v>
      </c>
      <c r="D23" s="17">
        <v>0</v>
      </c>
      <c r="E23" s="26"/>
    </row>
    <row r="24" spans="1:13">
      <c r="A24" s="16" t="s">
        <v>17</v>
      </c>
      <c r="B24" s="17">
        <v>0</v>
      </c>
      <c r="C24" s="17">
        <v>0</v>
      </c>
      <c r="D24" s="17">
        <v>0</v>
      </c>
      <c r="E24" s="26"/>
    </row>
    <row r="25" spans="1:13">
      <c r="A25" s="16" t="s">
        <v>18</v>
      </c>
      <c r="B25" s="17">
        <v>0</v>
      </c>
      <c r="C25" s="17">
        <v>0</v>
      </c>
      <c r="D25" s="17">
        <v>0</v>
      </c>
      <c r="E25" s="26"/>
    </row>
    <row r="26" spans="1:13">
      <c r="A26" s="16" t="s">
        <v>19</v>
      </c>
      <c r="B26" s="17">
        <v>0</v>
      </c>
      <c r="C26" s="17">
        <v>0</v>
      </c>
      <c r="D26" s="17">
        <v>0</v>
      </c>
      <c r="E26" s="26"/>
    </row>
    <row r="27" spans="1:13">
      <c r="A27" s="16" t="s">
        <v>21</v>
      </c>
      <c r="B27" s="17">
        <v>0</v>
      </c>
      <c r="C27" s="17">
        <v>0</v>
      </c>
      <c r="D27" s="17">
        <v>0</v>
      </c>
      <c r="E27" s="26"/>
    </row>
    <row r="28" spans="1:13">
      <c r="A28" s="16" t="s">
        <v>22</v>
      </c>
      <c r="B28" s="17">
        <v>0</v>
      </c>
      <c r="C28" s="17">
        <v>0</v>
      </c>
      <c r="D28" s="17">
        <v>0</v>
      </c>
      <c r="E28" s="26"/>
    </row>
    <row r="29" spans="1:13">
      <c r="A29" s="16" t="s">
        <v>23</v>
      </c>
      <c r="B29" s="17">
        <v>0</v>
      </c>
      <c r="C29" s="17">
        <v>0</v>
      </c>
      <c r="D29" s="17">
        <v>0</v>
      </c>
      <c r="E29" s="26"/>
    </row>
    <row r="30" spans="1:13">
      <c r="A30" s="16" t="s">
        <v>25</v>
      </c>
      <c r="B30" s="17">
        <v>0</v>
      </c>
      <c r="C30" s="17">
        <v>0</v>
      </c>
      <c r="D30" s="17">
        <v>0</v>
      </c>
      <c r="E30" s="26"/>
    </row>
    <row r="31" spans="1:13">
      <c r="A31" s="16" t="s">
        <v>26</v>
      </c>
      <c r="B31" s="17">
        <v>0</v>
      </c>
      <c r="C31" s="17">
        <v>0</v>
      </c>
      <c r="D31" s="17">
        <v>0</v>
      </c>
      <c r="E31" s="26"/>
    </row>
    <row r="32" spans="1:13" s="2" customFormat="1">
      <c r="A32" s="16" t="s">
        <v>27</v>
      </c>
      <c r="B32" s="17">
        <v>0</v>
      </c>
      <c r="C32" s="17">
        <v>0</v>
      </c>
      <c r="D32" s="17">
        <v>0</v>
      </c>
      <c r="E32" s="26"/>
      <c r="L32" s="4"/>
      <c r="M32" s="1"/>
    </row>
  </sheetData>
  <mergeCells count="6">
    <mergeCell ref="A3:A4"/>
    <mergeCell ref="B3:E3"/>
    <mergeCell ref="F3:H3"/>
    <mergeCell ref="I3:K3"/>
    <mergeCell ref="L3:L4"/>
    <mergeCell ref="B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triandito gilang</dc:creator>
  <cp:lastModifiedBy>triandito gilang</cp:lastModifiedBy>
  <dcterms:created xsi:type="dcterms:W3CDTF">2026-09-05T03:08:14Z</dcterms:created>
  <dcterms:modified xsi:type="dcterms:W3CDTF">2026-09-05T03:08:51Z</dcterms:modified>
</cp:coreProperties>
</file>