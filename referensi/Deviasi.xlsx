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8_{A5672C32-5D1B-4CC4-B996-9D19B9AA5364}" xr6:coauthVersionLast="47" xr6:coauthVersionMax="47" xr10:uidLastSave="{00000000-0000-0000-0000-000000000000}"/>
  <bookViews>
    <workbookView xWindow="-120" yWindow="-120" windowWidth="20730" windowHeight="11040" xr2:uid="{D23A6D9F-4463-4200-8B34-0441B5FBF6C5}"/>
  </bookViews>
  <sheets>
    <sheet name="DE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1" l="1"/>
  <c r="L14" i="1" l="1"/>
  <c r="K14" i="1"/>
  <c r="K16" i="1"/>
  <c r="K15" i="1"/>
  <c r="K13" i="1"/>
  <c r="K12" i="1"/>
  <c r="K11" i="1"/>
  <c r="K10" i="1"/>
  <c r="K9" i="1"/>
  <c r="K8" i="1"/>
  <c r="K7" i="1"/>
  <c r="L11" i="1"/>
  <c r="L12" i="1"/>
  <c r="L17" i="1"/>
  <c r="L16" i="1"/>
  <c r="L15" i="1"/>
  <c r="L13" i="1"/>
  <c r="L10" i="1"/>
  <c r="L9" i="1"/>
  <c r="L8" i="1"/>
  <c r="L7" i="1"/>
  <c r="L6" i="1"/>
  <c r="I13" i="1"/>
  <c r="H13" i="1"/>
  <c r="I12" i="1"/>
  <c r="H12" i="1"/>
  <c r="I11" i="1"/>
  <c r="I10" i="1"/>
  <c r="I9" i="1"/>
  <c r="I8" i="1"/>
  <c r="J7" i="1"/>
  <c r="I7" i="1"/>
  <c r="J6" i="1"/>
  <c r="I6" i="1"/>
  <c r="H7" i="1"/>
  <c r="H8" i="1"/>
  <c r="H9" i="1"/>
  <c r="H10" i="1"/>
  <c r="H6" i="1"/>
  <c r="J10" i="1" l="1"/>
  <c r="J13" i="1"/>
  <c r="P13" i="1" s="1"/>
  <c r="J11" i="1"/>
  <c r="P11" i="1" s="1"/>
  <c r="J14" i="1"/>
  <c r="P14" i="1" s="1"/>
  <c r="O8" i="1"/>
  <c r="J8" i="1"/>
  <c r="P8" i="1" s="1"/>
  <c r="N8" i="1"/>
  <c r="J9" i="1"/>
  <c r="P9" i="1" s="1"/>
  <c r="J12" i="1"/>
  <c r="I15" i="1"/>
  <c r="O15" i="1" s="1"/>
  <c r="H15" i="1"/>
  <c r="N15" i="1" s="1"/>
  <c r="I14" i="1"/>
  <c r="O14" i="1" s="1"/>
  <c r="P10" i="1"/>
  <c r="P6" i="1"/>
  <c r="O13" i="1"/>
  <c r="N12" i="1"/>
  <c r="N13" i="1"/>
  <c r="O12" i="1"/>
  <c r="P12" i="1"/>
  <c r="O9" i="1"/>
  <c r="O11" i="1"/>
  <c r="N9" i="1"/>
  <c r="H11" i="1"/>
  <c r="N11" i="1" s="1"/>
  <c r="N6" i="1"/>
  <c r="N10" i="1"/>
  <c r="O10" i="1"/>
  <c r="N7" i="1"/>
  <c r="O7" i="1"/>
  <c r="P7" i="1"/>
  <c r="O6" i="1"/>
  <c r="Q8" i="1" l="1"/>
  <c r="J15" i="1"/>
  <c r="P15" i="1" s="1"/>
  <c r="H14" i="1"/>
  <c r="N14" i="1" s="1"/>
  <c r="Q14" i="1" s="1"/>
  <c r="Q6" i="1"/>
  <c r="R6" i="1" s="1"/>
  <c r="Q7" i="1"/>
  <c r="Q15" i="1"/>
  <c r="Q13" i="1"/>
  <c r="Q10" i="1"/>
  <c r="Q11" i="1"/>
  <c r="Q9" i="1"/>
  <c r="Q12" i="1"/>
  <c r="J16" i="1" l="1"/>
  <c r="P16" i="1" s="1"/>
  <c r="I16" i="1"/>
  <c r="O16" i="1" s="1"/>
  <c r="H16" i="1"/>
  <c r="N16" i="1" s="1"/>
  <c r="R15" i="1"/>
  <c r="S15" i="1" s="1"/>
  <c r="R14" i="1"/>
  <c r="S14" i="1" s="1"/>
  <c r="R13" i="1"/>
  <c r="S13" i="1" s="1"/>
  <c r="R12" i="1"/>
  <c r="S12" i="1" s="1"/>
  <c r="R11" i="1"/>
  <c r="S11" i="1" s="1"/>
  <c r="R10" i="1"/>
  <c r="S10" i="1" s="1"/>
  <c r="S6" i="1"/>
  <c r="R8" i="1"/>
  <c r="S8" i="1" s="1"/>
  <c r="R9" i="1"/>
  <c r="S9" i="1" s="1"/>
  <c r="R7" i="1"/>
  <c r="S7" i="1" s="1"/>
  <c r="J17" i="1" l="1"/>
  <c r="P17" i="1" s="1"/>
  <c r="Q16" i="1"/>
  <c r="R16" i="1" s="1"/>
  <c r="R17" i="1" s="1"/>
  <c r="H17" i="1"/>
  <c r="N17" i="1" s="1"/>
  <c r="I17" i="1"/>
  <c r="O17" i="1" s="1"/>
  <c r="S16" i="1" l="1"/>
  <c r="S17" i="1" s="1"/>
  <c r="Q17" i="1"/>
</calcChain>
</file>

<file path=xl/sharedStrings.xml><?xml version="1.0" encoding="utf-8"?>
<sst xmlns="http://schemas.openxmlformats.org/spreadsheetml/2006/main" count="37" uniqueCount="37">
  <si>
    <t>Bulan</t>
  </si>
  <si>
    <t>RPD</t>
  </si>
  <si>
    <t>Realisasi</t>
  </si>
  <si>
    <t>Proporsi Pagu</t>
  </si>
  <si>
    <t>Deviasi</t>
  </si>
  <si>
    <t>Deviasi Tertimbang</t>
  </si>
  <si>
    <t>Deviasi Seluruh JB</t>
  </si>
  <si>
    <r>
      <rPr>
        <sz val="11"/>
        <color theme="1"/>
        <rFont val="Symbol"/>
        <family val="1"/>
        <charset val="2"/>
      </rPr>
      <t>å</t>
    </r>
    <r>
      <rPr>
        <sz val="11"/>
        <color theme="1"/>
        <rFont val="Calibri"/>
        <family val="2"/>
      </rPr>
      <t xml:space="preserve"> Dev DIP An</t>
    </r>
  </si>
  <si>
    <t>Nilai IKPA</t>
  </si>
  <si>
    <t>Jan</t>
  </si>
  <si>
    <t>Feb</t>
  </si>
  <si>
    <t>Maret</t>
  </si>
  <si>
    <t>Aprl</t>
  </si>
  <si>
    <t>Mei</t>
  </si>
  <si>
    <t>Juni</t>
  </si>
  <si>
    <t>Juli</t>
  </si>
  <si>
    <t>Agust</t>
  </si>
  <si>
    <t>Sept</t>
  </si>
  <si>
    <t>Okt</t>
  </si>
  <si>
    <t>Nov</t>
  </si>
  <si>
    <t>Des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</si>
  <si>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</si>
  <si>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</si>
  <si>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</si>
  <si>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</si>
  <si>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</si>
  <si>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</si>
  <si>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</si>
  <si>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</si>
  <si>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</si>
  <si>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</si>
  <si>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</si>
  <si>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</si>
  <si>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</si>
  <si>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</si>
  <si>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p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</si>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</sst>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5" formatCode="_-* #,##0.000_-;\-* #,##0.000_-;_-* &quot;-&quot;_-;_-@_-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  <font>
      <sz val="11"/>
      <color theme="1"/>
      <name val="Calibri"/>
      <family val="1"/>
      <charset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41" fontId="0" fillId="0" borderId="0" xfId="1" applyFont="1" applyAlignment="1">
      <alignment horizontal="center" vertical="center"/>
    </xf>
    <xf numFmtId="9" fontId="0" fillId="0" borderId="0" xfId="2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/>
    </xf>
    <xf numFmtId="165" fontId="0" fillId="0" borderId="0" xfId="1" applyNumberFormat="1" applyFont="1" applyAlignment="1">
      <alignment horizontal="center" vertical="center"/>
    </xf>
    <xf numFmtId="41" fontId="0" fillId="2" borderId="1" xfId="1" applyFont="1" applyFill="1" applyBorder="1" applyAlignment="1">
      <alignment horizontal="center" vertical="center"/>
    </xf>
    <xf numFmtId="0" fontId="0" fillId="2" borderId="1" xfId="2" applyNumberFormat="1" applyFont="1" applyFill="1" applyBorder="1" applyAlignment="1">
      <alignment horizontal="center" vertical="center"/>
    </xf>
    <xf numFmtId="0" fontId="0" fillId="2" borderId="1" xfId="1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41" fontId="0" fillId="3" borderId="1" xfId="1" applyFont="1" applyFill="1" applyBorder="1" applyAlignment="1">
      <alignment horizontal="center" vertical="center"/>
    </xf>
    <xf numFmtId="10" fontId="0" fillId="3" borderId="1" xfId="2" applyNumberFormat="1" applyFon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10" fontId="0" fillId="4" borderId="1" xfId="2" applyNumberFormat="1" applyFon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41" fontId="0" fillId="2" borderId="1" xfId="1" applyFont="1" applyFill="1" applyBorder="1" applyAlignment="1">
      <alignment horizontal="center" vertical="center"/>
    </xf>
    <xf numFmtId="9" fontId="0" fillId="2" borderId="1" xfId="2" applyFont="1" applyFill="1" applyBorder="1" applyAlignment="1">
      <alignment horizontal="center" vertical="center" wrapText="1"/>
    </xf>
    <xf numFmtId="9" fontId="4" fillId="2" borderId="1" xfId="0" applyNumberFormat="1" applyFont="1" applyFill="1" applyBorder="1" applyAlignment="1">
      <alignment horizontal="center" vertical="center" wrapText="1"/>
    </xf>
    <xf numFmtId="9" fontId="0" fillId="2" borderId="1" xfId="2" applyFont="1" applyFill="1" applyBorder="1" applyAlignment="1">
      <alignment horizontal="center" vertical="center"/>
    </xf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A89EE-A44A-4F81-AB92-778BA2D61BE8}">
  <dimension ref="A3:S25"/>
  <sheetViews>
    <sheetView tabSelected="1" zoomScale="85" zoomScaleNormal="85" workbookViewId="0">
      <selection activeCell="E20" sqref="E20"/>
    </sheetView>
  </sheetViews>
  <sheetFormatPr defaultRowHeight="15"/>
  <cols>
    <col min="1" max="1" width="8.7109375" style="1"/>
    <col min="2" max="2" width="15.7109375" style="4" bestFit="1" customWidth="1"/>
    <col min="3" max="4" width="14.5703125" style="4" bestFit="1" customWidth="1"/>
    <col min="5" max="5" width="15.7109375" style="4" bestFit="1" customWidth="1"/>
    <col min="6" max="7" width="14.5703125" style="4" bestFit="1" customWidth="1"/>
    <col min="8" max="16" width="10.5703125" style="5" customWidth="1"/>
    <col min="17" max="17" width="8.7109375" style="5"/>
    <col min="18" max="18" width="8.7109375" style="6"/>
    <col min="19" max="19" width="8.7109375" style="2"/>
  </cols>
  <sheetData>
    <row r="3" spans="1:19">
      <c r="A3" s="19" t="s">
        <v>0</v>
      </c>
      <c r="B3" s="20" t="s">
        <v>1</v>
      </c>
      <c r="C3" s="20"/>
      <c r="D3" s="20"/>
      <c r="E3" s="20" t="s">
        <v>2</v>
      </c>
      <c r="F3" s="20"/>
      <c r="G3" s="20"/>
      <c r="H3" s="23" t="s">
        <v>3</v>
      </c>
      <c r="I3" s="23"/>
      <c r="J3" s="23"/>
      <c r="K3" s="23" t="s">
        <v>4</v>
      </c>
      <c r="L3" s="23"/>
      <c r="M3" s="23"/>
      <c r="N3" s="23" t="s">
        <v>5</v>
      </c>
      <c r="O3" s="23"/>
      <c r="P3" s="23"/>
      <c r="Q3" s="21" t="s">
        <v>6</v>
      </c>
      <c r="R3" s="22" t="s">
        <v>7</v>
      </c>
      <c r="S3" s="18" t="s">
        <v>8</v>
      </c>
    </row>
    <row r="4" spans="1:19">
      <c r="A4" s="19"/>
      <c r="B4" s="11">
        <v>51</v>
      </c>
      <c r="C4" s="11">
        <v>52</v>
      </c>
      <c r="D4" s="11">
        <v>53</v>
      </c>
      <c r="E4" s="11">
        <v>51</v>
      </c>
      <c r="F4" s="11">
        <v>52</v>
      </c>
      <c r="G4" s="11">
        <v>53</v>
      </c>
      <c r="H4" s="10">
        <v>51</v>
      </c>
      <c r="I4" s="10">
        <v>52</v>
      </c>
      <c r="J4" s="10">
        <v>53</v>
      </c>
      <c r="K4" s="10">
        <v>51</v>
      </c>
      <c r="L4" s="10">
        <v>52</v>
      </c>
      <c r="M4" s="10">
        <v>53</v>
      </c>
      <c r="N4" s="10">
        <v>51</v>
      </c>
      <c r="O4" s="10">
        <v>52</v>
      </c>
      <c r="P4" s="10">
        <v>53</v>
      </c>
      <c r="Q4" s="21"/>
      <c r="R4" s="22"/>
      <c r="S4" s="18"/>
    </row>
    <row r="5" spans="1:19">
      <c r="A5" s="19"/>
      <c r="B5" s="9" t="s">
        <v>21</v>
      </c>
      <c r="C5" s="9" t="s">
        <v>22</v>
      </c>
      <c r="D5" s="9" t="s">
        <v>23</v>
      </c>
      <c r="E5" s="9" t="s">
        <v>24</v>
      </c>
      <c r="F5" s="9" t="s">
        <v>25</v>
      </c>
      <c r="G5" s="9" t="s">
        <v>26</v>
      </c>
      <c r="H5" s="10" t="s">
        <v>27</v>
      </c>
      <c r="I5" s="10" t="s">
        <v>28</v>
      </c>
      <c r="J5" s="10" t="s">
        <v>29</v>
      </c>
      <c r="K5" s="10" t="s">
        <v>30</v>
      </c>
      <c r="L5" s="10" t="s">
        <v>31</v>
      </c>
      <c r="M5" s="10" t="s">
        <v>32</v>
      </c>
      <c r="N5" s="10" t="s">
        <v>33</v>
      </c>
      <c r="O5" s="10" t="s">
        <v>34</v>
      </c>
      <c r="P5" s="10" t="s">
        <v>35</v>
      </c>
      <c r="Q5" s="21"/>
      <c r="R5" s="22"/>
      <c r="S5" s="18"/>
    </row>
    <row r="6" spans="1:19" ht="18" customHeight="1">
      <c r="A6" s="7" t="s">
        <v>9</v>
      </c>
      <c r="B6" s="3">
        <v>0</v>
      </c>
      <c r="C6" s="3">
        <v>47088973</v>
      </c>
      <c r="D6" s="3">
        <v>0</v>
      </c>
      <c r="E6" s="3">
        <v>0</v>
      </c>
      <c r="F6" s="3">
        <v>47088775</v>
      </c>
      <c r="G6" s="3">
        <v>0</v>
      </c>
      <c r="H6" s="16" t="e">
        <f>#REF!</f>
        <v>#REF!</v>
      </c>
      <c r="I6" s="16" t="e">
        <f>#REF!</f>
        <v>#REF!</v>
      </c>
      <c r="J6" s="16" t="e">
        <f>#REF!</f>
        <v>#REF!</v>
      </c>
      <c r="K6" s="16">
        <v>0</v>
      </c>
      <c r="L6" s="16">
        <f>ABS((F6-C6)/C6)</f>
        <v>4.2048060806082984E-6</v>
      </c>
      <c r="M6" s="16">
        <v>0</v>
      </c>
      <c r="N6" s="16" t="e">
        <f t="shared" ref="N6:P8" si="0">K6*H6</f>
        <v>#REF!</v>
      </c>
      <c r="O6" s="16" t="e">
        <f t="shared" si="0"/>
        <v>#REF!</v>
      </c>
      <c r="P6" s="16" t="e">
        <f t="shared" si="0"/>
        <v>#REF!</v>
      </c>
      <c r="Q6" s="16" t="e">
        <f>N6+O6+P6</f>
        <v>#REF!</v>
      </c>
      <c r="R6" s="17" t="e">
        <f>(Q6/1)*100</f>
        <v>#REF!</v>
      </c>
      <c r="S6" s="17" t="e">
        <f>IF(R6&lt;5,100,(100-R6))</f>
        <v>#REF!</v>
      </c>
    </row>
    <row r="7" spans="1:19" ht="18" customHeight="1">
      <c r="A7" s="7" t="s">
        <v>10</v>
      </c>
      <c r="B7" s="3">
        <v>31753000</v>
      </c>
      <c r="C7" s="3">
        <v>127644621</v>
      </c>
      <c r="D7" s="3">
        <v>0</v>
      </c>
      <c r="E7" s="3">
        <v>31753000</v>
      </c>
      <c r="F7" s="3">
        <v>127699520</v>
      </c>
      <c r="G7" s="3">
        <v>0</v>
      </c>
      <c r="H7" s="16" t="e">
        <f>#REF!</f>
        <v>#REF!</v>
      </c>
      <c r="I7" s="16" t="e">
        <f>#REF!</f>
        <v>#REF!</v>
      </c>
      <c r="J7" s="16" t="e">
        <f>#REF!</f>
        <v>#REF!</v>
      </c>
      <c r="K7" s="16">
        <f t="shared" ref="K7:K16" si="1">ABS((E7-B7)/B7)</f>
        <v>0</v>
      </c>
      <c r="L7" s="16">
        <f t="shared" ref="L7:L10" si="2">ABS((F7-C7)/C7)</f>
        <v>4.3009254577206196E-4</v>
      </c>
      <c r="M7" s="16">
        <v>0</v>
      </c>
      <c r="N7" s="16" t="e">
        <f t="shared" si="0"/>
        <v>#REF!</v>
      </c>
      <c r="O7" s="16" t="e">
        <f t="shared" si="0"/>
        <v>#REF!</v>
      </c>
      <c r="P7" s="16" t="e">
        <f t="shared" si="0"/>
        <v>#REF!</v>
      </c>
      <c r="Q7" s="16" t="e">
        <f>N7+O7+P7</f>
        <v>#REF!</v>
      </c>
      <c r="R7" s="17" t="e">
        <f>((Q7+Q6)/2)*100</f>
        <v>#REF!</v>
      </c>
      <c r="S7" s="17" t="e">
        <f t="shared" ref="S7:S16" si="3">IF(R7&lt;5,100,(100-R7))</f>
        <v>#REF!</v>
      </c>
    </row>
    <row r="8" spans="1:19" ht="18" customHeight="1">
      <c r="A8" s="7" t="s">
        <v>11</v>
      </c>
      <c r="B8" s="3">
        <v>40215999</v>
      </c>
      <c r="C8" s="3">
        <v>147706203</v>
      </c>
      <c r="D8" s="3">
        <v>0</v>
      </c>
      <c r="E8" s="3">
        <v>18619000</v>
      </c>
      <c r="F8" s="3">
        <f>70146604+52813000+2946000</f>
        <v>125905604</v>
      </c>
      <c r="G8" s="3">
        <v>0</v>
      </c>
      <c r="H8" s="16" t="e">
        <f>#REF!</f>
        <v>#REF!</v>
      </c>
      <c r="I8" s="16" t="e">
        <f>#REF!</f>
        <v>#REF!</v>
      </c>
      <c r="J8" s="16" t="e">
        <f>#REF!</f>
        <v>#REF!</v>
      </c>
      <c r="K8" s="16">
        <f t="shared" si="1"/>
        <v>0.53702505313867743</v>
      </c>
      <c r="L8" s="16">
        <f t="shared" si="2"/>
        <v>0.14759433630556462</v>
      </c>
      <c r="M8" s="16">
        <v>0</v>
      </c>
      <c r="N8" s="16" t="e">
        <f t="shared" si="0"/>
        <v>#REF!</v>
      </c>
      <c r="O8" s="16" t="e">
        <f t="shared" si="0"/>
        <v>#REF!</v>
      </c>
      <c r="P8" s="16" t="e">
        <f t="shared" si="0"/>
        <v>#REF!</v>
      </c>
      <c r="Q8" s="16" t="e">
        <f>ABS(N8+O8+P8)</f>
        <v>#REF!</v>
      </c>
      <c r="R8" s="17" t="e">
        <f>((Q6+Q7+Q8)/3)*100</f>
        <v>#REF!</v>
      </c>
      <c r="S8" s="17" t="e">
        <f t="shared" si="3"/>
        <v>#REF!</v>
      </c>
    </row>
    <row r="9" spans="1:19" ht="18" customHeight="1">
      <c r="A9" s="7" t="s">
        <v>12</v>
      </c>
      <c r="B9" s="3">
        <v>36820996</v>
      </c>
      <c r="C9" s="3">
        <v>154202199</v>
      </c>
      <c r="D9" s="3">
        <v>0</v>
      </c>
      <c r="E9" s="3"/>
      <c r="F9" s="3"/>
      <c r="G9" s="3">
        <v>0</v>
      </c>
      <c r="H9" s="16" t="e">
        <f>#REF!</f>
        <v>#REF!</v>
      </c>
      <c r="I9" s="16" t="e">
        <f>#REF!</f>
        <v>#REF!</v>
      </c>
      <c r="J9" s="16" t="e">
        <f>#REF!</f>
        <v>#REF!</v>
      </c>
      <c r="K9" s="16">
        <f t="shared" si="1"/>
        <v>1</v>
      </c>
      <c r="L9" s="16">
        <f t="shared" si="2"/>
        <v>1</v>
      </c>
      <c r="M9" s="16">
        <v>0</v>
      </c>
      <c r="N9" s="16" t="e">
        <f t="shared" ref="N9:N17" si="4">K9*H9</f>
        <v>#REF!</v>
      </c>
      <c r="O9" s="16" t="e">
        <f t="shared" ref="O9:O17" si="5">L9*I9</f>
        <v>#REF!</v>
      </c>
      <c r="P9" s="16" t="e">
        <f t="shared" ref="P9:P17" si="6">M9*J9</f>
        <v>#REF!</v>
      </c>
      <c r="Q9" s="16" t="e">
        <f>ABS(N9+O9+P9)</f>
        <v>#REF!</v>
      </c>
      <c r="R9" s="17" t="e">
        <f>((Q6+Q7+Q8+Q9)/4)*100</f>
        <v>#REF!</v>
      </c>
      <c r="S9" s="17" t="e">
        <f t="shared" si="3"/>
        <v>#REF!</v>
      </c>
    </row>
    <row r="10" spans="1:19" ht="18" customHeight="1">
      <c r="A10" s="7" t="s">
        <v>13</v>
      </c>
      <c r="B10" s="3">
        <v>36820996</v>
      </c>
      <c r="C10" s="3">
        <v>154202199</v>
      </c>
      <c r="D10" s="3">
        <v>0</v>
      </c>
      <c r="E10" s="3">
        <v>0</v>
      </c>
      <c r="F10" s="3">
        <v>0</v>
      </c>
      <c r="G10" s="3">
        <v>0</v>
      </c>
      <c r="H10" s="16" t="e">
        <f>#REF!</f>
        <v>#REF!</v>
      </c>
      <c r="I10" s="16" t="e">
        <f>#REF!</f>
        <v>#REF!</v>
      </c>
      <c r="J10" s="16" t="e">
        <f>#REF!</f>
        <v>#REF!</v>
      </c>
      <c r="K10" s="16">
        <f t="shared" si="1"/>
        <v>1</v>
      </c>
      <c r="L10" s="16">
        <f t="shared" si="2"/>
        <v>1</v>
      </c>
      <c r="M10" s="16">
        <v>0</v>
      </c>
      <c r="N10" s="16" t="e">
        <f t="shared" si="4"/>
        <v>#REF!</v>
      </c>
      <c r="O10" s="16" t="e">
        <f t="shared" si="5"/>
        <v>#REF!</v>
      </c>
      <c r="P10" s="16" t="e">
        <f t="shared" si="6"/>
        <v>#REF!</v>
      </c>
      <c r="Q10" s="16" t="e">
        <f t="shared" ref="Q10:Q17" si="7">ABS(N10+O10+P10)</f>
        <v>#REF!</v>
      </c>
      <c r="R10" s="17" t="e">
        <f>((Q6+Q7+Q8+Q9+Q10)/5)*100</f>
        <v>#REF!</v>
      </c>
      <c r="S10" s="17" t="e">
        <f>IF(R10&lt;5,100,(100-R10))</f>
        <v>#REF!</v>
      </c>
    </row>
    <row r="11" spans="1:19" ht="18" customHeight="1">
      <c r="A11" s="7" t="s">
        <v>14</v>
      </c>
      <c r="B11" s="3">
        <v>36820996</v>
      </c>
      <c r="C11" s="3">
        <v>150193938</v>
      </c>
      <c r="D11" s="3">
        <v>0</v>
      </c>
      <c r="E11" s="3">
        <v>0</v>
      </c>
      <c r="F11" s="3">
        <v>0</v>
      </c>
      <c r="G11" s="3">
        <v>0</v>
      </c>
      <c r="H11" s="16" t="e">
        <f>#REF!</f>
        <v>#REF!</v>
      </c>
      <c r="I11" s="16" t="e">
        <f>#REF!</f>
        <v>#REF!</v>
      </c>
      <c r="J11" s="16" t="e">
        <f>#REF!</f>
        <v>#REF!</v>
      </c>
      <c r="K11" s="16">
        <f t="shared" si="1"/>
        <v>1</v>
      </c>
      <c r="L11" s="16">
        <f t="shared" ref="L11:L17" si="8">ABS((F11-C11)/C11)</f>
        <v>1</v>
      </c>
      <c r="M11" s="16">
        <v>0</v>
      </c>
      <c r="N11" s="16" t="e">
        <f t="shared" si="4"/>
        <v>#REF!</v>
      </c>
      <c r="O11" s="16" t="e">
        <f t="shared" si="5"/>
        <v>#REF!</v>
      </c>
      <c r="P11" s="16" t="e">
        <f t="shared" si="6"/>
        <v>#REF!</v>
      </c>
      <c r="Q11" s="16" t="e">
        <f t="shared" si="7"/>
        <v>#REF!</v>
      </c>
      <c r="R11" s="17" t="e">
        <f>((Q6+Q7+Q8+Q9+Q10+Q11)/6)*100</f>
        <v>#REF!</v>
      </c>
      <c r="S11" s="17" t="e">
        <f>IF(R11&lt;5,100,(100-R11))</f>
        <v>#REF!</v>
      </c>
    </row>
    <row r="12" spans="1:19" ht="18" customHeight="1">
      <c r="A12" s="7" t="s">
        <v>15</v>
      </c>
      <c r="B12" s="3">
        <v>36820996</v>
      </c>
      <c r="C12" s="3">
        <v>148356401</v>
      </c>
      <c r="D12" s="3">
        <v>0</v>
      </c>
      <c r="E12" s="3">
        <v>0</v>
      </c>
      <c r="F12" s="3">
        <v>0</v>
      </c>
      <c r="G12" s="3">
        <v>0</v>
      </c>
      <c r="H12" s="16" t="e">
        <f>#REF!</f>
        <v>#REF!</v>
      </c>
      <c r="I12" s="16" t="e">
        <f>#REF!</f>
        <v>#REF!</v>
      </c>
      <c r="J12" s="16" t="e">
        <f>#REF!</f>
        <v>#REF!</v>
      </c>
      <c r="K12" s="16">
        <f t="shared" si="1"/>
        <v>1</v>
      </c>
      <c r="L12" s="16">
        <f t="shared" si="8"/>
        <v>1</v>
      </c>
      <c r="M12" s="16">
        <v>0</v>
      </c>
      <c r="N12" s="16" t="e">
        <f t="shared" si="4"/>
        <v>#REF!</v>
      </c>
      <c r="O12" s="16" t="e">
        <f t="shared" si="5"/>
        <v>#REF!</v>
      </c>
      <c r="P12" s="16" t="e">
        <f t="shared" si="6"/>
        <v>#REF!</v>
      </c>
      <c r="Q12" s="16" t="e">
        <f t="shared" si="7"/>
        <v>#REF!</v>
      </c>
      <c r="R12" s="17" t="e">
        <f>((Q6+Q7+Q8+Q9+Q10+Q11+Q12)/7)*100</f>
        <v>#REF!</v>
      </c>
      <c r="S12" s="17" t="e">
        <f t="shared" si="3"/>
        <v>#REF!</v>
      </c>
    </row>
    <row r="13" spans="1:19" ht="18" customHeight="1">
      <c r="A13" s="7" t="s">
        <v>16</v>
      </c>
      <c r="B13" s="3">
        <v>36820996</v>
      </c>
      <c r="C13" s="3">
        <v>147063184</v>
      </c>
      <c r="D13" s="3">
        <v>0</v>
      </c>
      <c r="E13" s="3">
        <v>0</v>
      </c>
      <c r="F13" s="3">
        <v>0</v>
      </c>
      <c r="G13" s="3">
        <v>0</v>
      </c>
      <c r="H13" s="16" t="e">
        <f>#REF!</f>
        <v>#REF!</v>
      </c>
      <c r="I13" s="16" t="e">
        <f>#REF!</f>
        <v>#REF!</v>
      </c>
      <c r="J13" s="16" t="e">
        <f>#REF!</f>
        <v>#REF!</v>
      </c>
      <c r="K13" s="16">
        <f t="shared" si="1"/>
        <v>1</v>
      </c>
      <c r="L13" s="16">
        <f t="shared" si="8"/>
        <v>1</v>
      </c>
      <c r="M13" s="16">
        <v>0</v>
      </c>
      <c r="N13" s="16" t="e">
        <f t="shared" si="4"/>
        <v>#REF!</v>
      </c>
      <c r="O13" s="16" t="e">
        <f t="shared" si="5"/>
        <v>#REF!</v>
      </c>
      <c r="P13" s="16" t="e">
        <f t="shared" si="6"/>
        <v>#REF!</v>
      </c>
      <c r="Q13" s="16" t="e">
        <f t="shared" si="7"/>
        <v>#REF!</v>
      </c>
      <c r="R13" s="17" t="e">
        <f>((Q6+Q7+Q8+Q9+Q10+Q11+Q12+Q13)/8)*100</f>
        <v>#REF!</v>
      </c>
      <c r="S13" s="17" t="e">
        <f t="shared" si="3"/>
        <v>#REF!</v>
      </c>
    </row>
    <row r="14" spans="1:19" ht="18" customHeight="1">
      <c r="A14" s="7" t="s">
        <v>17</v>
      </c>
      <c r="B14" s="3">
        <v>36820996</v>
      </c>
      <c r="C14" s="3">
        <v>146041450</v>
      </c>
      <c r="D14" s="3">
        <v>0</v>
      </c>
      <c r="E14" s="3">
        <v>0</v>
      </c>
      <c r="F14" s="3">
        <v>0</v>
      </c>
      <c r="G14" s="3">
        <v>0</v>
      </c>
      <c r="H14" s="16" t="e">
        <f>#REF!</f>
        <v>#REF!</v>
      </c>
      <c r="I14" s="16" t="e">
        <f>#REF!</f>
        <v>#REF!</v>
      </c>
      <c r="J14" s="16" t="e">
        <f>#REF!</f>
        <v>#REF!</v>
      </c>
      <c r="K14" s="16">
        <f t="shared" ref="K14" si="9">ABS((E14-B14)/B14)</f>
        <v>1</v>
      </c>
      <c r="L14" s="16">
        <f t="shared" si="8"/>
        <v>1</v>
      </c>
      <c r="M14" s="16">
        <v>1</v>
      </c>
      <c r="N14" s="16" t="e">
        <f t="shared" si="4"/>
        <v>#REF!</v>
      </c>
      <c r="O14" s="16" t="e">
        <f t="shared" si="5"/>
        <v>#REF!</v>
      </c>
      <c r="P14" s="16" t="e">
        <f t="shared" si="6"/>
        <v>#REF!</v>
      </c>
      <c r="Q14" s="16" t="e">
        <f t="shared" si="7"/>
        <v>#REF!</v>
      </c>
      <c r="R14" s="17" t="e">
        <f>((Q6+Q7+Q8+Q9+Q10+Q11+Q12+Q13+Q14)/9)*100</f>
        <v>#REF!</v>
      </c>
      <c r="S14" s="17" t="e">
        <f t="shared" si="3"/>
        <v>#REF!</v>
      </c>
    </row>
    <row r="15" spans="1:19" ht="18" customHeight="1">
      <c r="A15" s="7" t="s">
        <v>18</v>
      </c>
      <c r="B15" s="3">
        <v>36820996</v>
      </c>
      <c r="C15" s="3">
        <v>145188997</v>
      </c>
      <c r="D15" s="3">
        <v>0</v>
      </c>
      <c r="E15" s="3"/>
      <c r="F15" s="3"/>
      <c r="G15" s="3"/>
      <c r="H15" s="16" t="e">
        <f>#REF!</f>
        <v>#REF!</v>
      </c>
      <c r="I15" s="16" t="e">
        <f>#REF!</f>
        <v>#REF!</v>
      </c>
      <c r="J15" s="16" t="e">
        <f>#REF!</f>
        <v>#REF!</v>
      </c>
      <c r="K15" s="16">
        <f t="shared" si="1"/>
        <v>1</v>
      </c>
      <c r="L15" s="16">
        <f t="shared" si="8"/>
        <v>1</v>
      </c>
      <c r="M15" s="16">
        <v>0</v>
      </c>
      <c r="N15" s="16" t="e">
        <f t="shared" si="4"/>
        <v>#REF!</v>
      </c>
      <c r="O15" s="16" t="e">
        <f t="shared" si="5"/>
        <v>#REF!</v>
      </c>
      <c r="P15" s="16" t="e">
        <f t="shared" si="6"/>
        <v>#REF!</v>
      </c>
      <c r="Q15" s="16" t="e">
        <f t="shared" si="7"/>
        <v>#REF!</v>
      </c>
      <c r="R15" s="17" t="e">
        <f>((Q6+Q7+Q8+Q9+Q10+Q11+Q12+Q13+Q14+Q15)/10)*100</f>
        <v>#REF!</v>
      </c>
      <c r="S15" s="17" t="e">
        <f t="shared" si="3"/>
        <v>#REF!</v>
      </c>
    </row>
    <row r="16" spans="1:19" ht="18" customHeight="1">
      <c r="A16" s="7" t="s">
        <v>19</v>
      </c>
      <c r="B16" s="3">
        <v>36820996</v>
      </c>
      <c r="C16" s="3">
        <v>140094501</v>
      </c>
      <c r="D16" s="3">
        <v>0</v>
      </c>
      <c r="E16" s="3"/>
      <c r="F16" s="3"/>
      <c r="G16" s="3"/>
      <c r="H16" s="16" t="e">
        <f>#REF!</f>
        <v>#REF!</v>
      </c>
      <c r="I16" s="16" t="e">
        <f>#REF!</f>
        <v>#REF!</v>
      </c>
      <c r="J16" s="16" t="e">
        <f>#REF!</f>
        <v>#REF!</v>
      </c>
      <c r="K16" s="16">
        <f t="shared" si="1"/>
        <v>1</v>
      </c>
      <c r="L16" s="16">
        <f t="shared" si="8"/>
        <v>1</v>
      </c>
      <c r="M16" s="16">
        <v>0</v>
      </c>
      <c r="N16" s="16" t="e">
        <f t="shared" si="4"/>
        <v>#REF!</v>
      </c>
      <c r="O16" s="16" t="e">
        <f t="shared" si="5"/>
        <v>#REF!</v>
      </c>
      <c r="P16" s="16" t="e">
        <f t="shared" si="6"/>
        <v>#REF!</v>
      </c>
      <c r="Q16" s="16" t="e">
        <f t="shared" si="7"/>
        <v>#REF!</v>
      </c>
      <c r="R16" s="17" t="e">
        <f>((Q6+Q7+Q8+Q9+Q10+Q11+Q12+Q13+Q14+Q15+Q16)/11)*100</f>
        <v>#REF!</v>
      </c>
      <c r="S16" s="17" t="e">
        <f t="shared" si="3"/>
        <v>#REF!</v>
      </c>
    </row>
    <row r="17" spans="1:19" ht="18" customHeight="1">
      <c r="A17" s="12" t="s">
        <v>20</v>
      </c>
      <c r="B17" s="13">
        <v>36820996</v>
      </c>
      <c r="C17" s="13">
        <v>140094501</v>
      </c>
      <c r="D17" s="13">
        <v>0</v>
      </c>
      <c r="E17" s="13"/>
      <c r="F17" s="13"/>
      <c r="G17" s="13"/>
      <c r="H17" s="14" t="e">
        <f>#REF!</f>
        <v>#REF!</v>
      </c>
      <c r="I17" s="14" t="e">
        <f>#REF!</f>
        <v>#REF!</v>
      </c>
      <c r="J17" s="14" t="e">
        <f>#REF!</f>
        <v>#REF!</v>
      </c>
      <c r="K17" s="14">
        <v>1</v>
      </c>
      <c r="L17" s="14">
        <f t="shared" si="8"/>
        <v>1</v>
      </c>
      <c r="M17" s="14">
        <v>0</v>
      </c>
      <c r="N17" s="14" t="e">
        <f t="shared" si="4"/>
        <v>#REF!</v>
      </c>
      <c r="O17" s="14" t="e">
        <f t="shared" si="5"/>
        <v>#REF!</v>
      </c>
      <c r="P17" s="14" t="e">
        <f t="shared" si="6"/>
        <v>#REF!</v>
      </c>
      <c r="Q17" s="14" t="e">
        <f t="shared" si="7"/>
        <v>#REF!</v>
      </c>
      <c r="R17" s="15" t="e">
        <f>R16</f>
        <v>#REF!</v>
      </c>
      <c r="S17" s="15" t="e">
        <f>S16</f>
        <v>#REF!</v>
      </c>
    </row>
    <row r="18" spans="1:19">
      <c r="R18" s="2"/>
      <c r="S18"/>
    </row>
    <row r="19" spans="1:19">
      <c r="E19" s="4" t="s">
        <v>36</v>
      </c>
      <c r="R19" s="2"/>
      <c r="S19"/>
    </row>
    <row r="25" spans="1:19">
      <c r="F25" s="8"/>
    </row>
  </sheetData>
  <mergeCells count="9">
    <mergeCell ref="Q3:Q5"/>
    <mergeCell ref="R3:R5"/>
    <mergeCell ref="S3:S5"/>
    <mergeCell ref="A3:A5"/>
    <mergeCell ref="B3:D3"/>
    <mergeCell ref="E3:G3"/>
    <mergeCell ref="H3:J3"/>
    <mergeCell ref="K3:M3"/>
    <mergeCell ref="N3:P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d6fb366-8322-46f3-915e-c4d037a454a9}" enabled="0" method="" siteId="{ed6fb366-8322-46f3-915e-c4d037a454a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Diah mariana</dc:creator>
  <cp:lastModifiedBy>triandito gilang</cp:lastModifiedBy>
  <dcterms:created xsi:type="dcterms:W3CDTF">2024-05-06T07:41:23Z</dcterms:created>
  <dcterms:modified xsi:type="dcterms:W3CDTF">2026-09-05T03:09:15Z</dcterms:modified>
</cp:coreProperties>
</file>