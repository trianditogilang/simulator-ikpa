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kemenkeu-my.sharepoint.com/personal/lifia_habsari_kemenkeu_go_id/Documents/2026/01 KEUANGAN/11 TOOLS IKPA/"/>
    </mc:Choice>
  </mc:AlternateContent>
  <xr:revisionPtr revIDLastSave="32" documentId="13_ncr:1_{F9C137F4-7583-4C08-B0C8-789A2925D02F}" xr6:coauthVersionLast="47" xr6:coauthVersionMax="47" xr10:uidLastSave="{42FF56FE-F68E-4E6C-85DF-62D0A9C6CD8A}"/>
  <bookViews>
    <workbookView xWindow="-120" yWindow="-120" windowWidth="20730" windowHeight="11040" xr2:uid="{00000000-000D-0000-FFFF-FFFF00000000}"/>
  </bookViews>
  <sheets>
    <sheet name="Simulasi Setiap GUP" sheetId="5" r:id="rId1"/>
    <sheet name="Simulasi Khusus GUP tgl 6 mar -" sheetId="6" state="hidden" r:id="rId2"/>
    <sheet name="Penyerapan Anggaran" sheetId="4" r:id="rId3"/>
    <sheet name="FORMULA BARU" sheetId="3" state="hidden" r:id="rId4"/>
    <sheet name="formula lama" sheetId="1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  <c r="D14" i="5"/>
  <c r="E14" i="5" s="1"/>
  <c r="E10" i="4"/>
  <c r="E16" i="4"/>
  <c r="K16" i="4" s="1"/>
  <c r="M18" i="6"/>
  <c r="L18" i="6"/>
  <c r="K18" i="6"/>
  <c r="M17" i="6"/>
  <c r="L17" i="6"/>
  <c r="K17" i="6"/>
  <c r="E17" i="6"/>
  <c r="M16" i="6"/>
  <c r="L16" i="6"/>
  <c r="K16" i="6"/>
  <c r="M15" i="6"/>
  <c r="L15" i="6"/>
  <c r="K15" i="6"/>
  <c r="M14" i="6"/>
  <c r="L14" i="6"/>
  <c r="K14" i="6"/>
  <c r="D14" i="6"/>
  <c r="E14" i="6" s="1"/>
  <c r="M13" i="6"/>
  <c r="L13" i="6"/>
  <c r="K13" i="6"/>
  <c r="M12" i="6"/>
  <c r="L12" i="6"/>
  <c r="K12" i="6"/>
  <c r="M11" i="6"/>
  <c r="L11" i="6"/>
  <c r="K11" i="6"/>
  <c r="C11" i="6"/>
  <c r="M10" i="6"/>
  <c r="L10" i="6"/>
  <c r="K10" i="6"/>
  <c r="M9" i="6"/>
  <c r="L9" i="6"/>
  <c r="K9" i="6"/>
  <c r="M8" i="6"/>
  <c r="L8" i="6"/>
  <c r="K8" i="6"/>
  <c r="M18" i="5"/>
  <c r="L18" i="5"/>
  <c r="K18" i="5"/>
  <c r="M17" i="5"/>
  <c r="L17" i="5"/>
  <c r="K17" i="5"/>
  <c r="E17" i="5"/>
  <c r="M16" i="5"/>
  <c r="L16" i="5"/>
  <c r="K16" i="5"/>
  <c r="M15" i="5"/>
  <c r="L15" i="5"/>
  <c r="K15" i="5"/>
  <c r="M14" i="5"/>
  <c r="L14" i="5"/>
  <c r="K14" i="5"/>
  <c r="M13" i="5"/>
  <c r="L13" i="5"/>
  <c r="K13" i="5"/>
  <c r="M12" i="5"/>
  <c r="L12" i="5"/>
  <c r="K12" i="5"/>
  <c r="M11" i="5"/>
  <c r="L11" i="5"/>
  <c r="K11" i="5"/>
  <c r="M10" i="5"/>
  <c r="L10" i="5"/>
  <c r="K10" i="5"/>
  <c r="M9" i="5"/>
  <c r="L9" i="5"/>
  <c r="K9" i="5"/>
  <c r="M8" i="5"/>
  <c r="L8" i="5"/>
  <c r="K8" i="5"/>
  <c r="N11" i="4"/>
  <c r="N7" i="4"/>
  <c r="P19" i="4"/>
  <c r="Q19" i="4"/>
  <c r="O19" i="4"/>
  <c r="R7" i="4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S7" i="4"/>
  <c r="S8" i="4" s="1"/>
  <c r="S9" i="4" s="1"/>
  <c r="S10" i="4" s="1"/>
  <c r="S11" i="4" s="1"/>
  <c r="S12" i="4" s="1"/>
  <c r="S13" i="4" s="1"/>
  <c r="S14" i="4" s="1"/>
  <c r="S15" i="4" s="1"/>
  <c r="S16" i="4" s="1"/>
  <c r="S17" i="4" s="1"/>
  <c r="S18" i="4" s="1"/>
  <c r="M15" i="4"/>
  <c r="T7" i="4"/>
  <c r="T8" i="4" s="1"/>
  <c r="T9" i="4" s="1"/>
  <c r="T10" i="4" s="1"/>
  <c r="T11" i="4" s="1"/>
  <c r="T12" i="4" s="1"/>
  <c r="T13" i="4" s="1"/>
  <c r="T14" i="4" s="1"/>
  <c r="T15" i="4" s="1"/>
  <c r="T16" i="4" s="1"/>
  <c r="T17" i="4" s="1"/>
  <c r="T18" i="4" s="1"/>
  <c r="L7" i="4"/>
  <c r="E7" i="4"/>
  <c r="I7" i="4" s="1"/>
  <c r="N8" i="4"/>
  <c r="N9" i="4"/>
  <c r="N10" i="4"/>
  <c r="N12" i="4"/>
  <c r="N13" i="4"/>
  <c r="N14" i="4"/>
  <c r="N15" i="4"/>
  <c r="N16" i="4"/>
  <c r="N17" i="4"/>
  <c r="N18" i="4"/>
  <c r="M18" i="4"/>
  <c r="L18" i="4"/>
  <c r="E18" i="4"/>
  <c r="K18" i="4" s="1"/>
  <c r="M17" i="4"/>
  <c r="L17" i="4"/>
  <c r="E17" i="4"/>
  <c r="J17" i="4" s="1"/>
  <c r="M16" i="4"/>
  <c r="L16" i="4"/>
  <c r="L15" i="4"/>
  <c r="E15" i="4"/>
  <c r="I15" i="4" s="1"/>
  <c r="M14" i="4"/>
  <c r="L14" i="4"/>
  <c r="E14" i="4"/>
  <c r="K14" i="4" s="1"/>
  <c r="M13" i="4"/>
  <c r="L13" i="4"/>
  <c r="E13" i="4"/>
  <c r="J13" i="4" s="1"/>
  <c r="M12" i="4"/>
  <c r="L12" i="4"/>
  <c r="E12" i="4"/>
  <c r="K12" i="4" s="1"/>
  <c r="M11" i="4"/>
  <c r="L11" i="4"/>
  <c r="E11" i="4"/>
  <c r="I11" i="4" s="1"/>
  <c r="M10" i="4"/>
  <c r="L10" i="4"/>
  <c r="K10" i="4"/>
  <c r="M9" i="4"/>
  <c r="L9" i="4"/>
  <c r="E9" i="4"/>
  <c r="J9" i="4" s="1"/>
  <c r="M8" i="4"/>
  <c r="L8" i="4"/>
  <c r="E8" i="4"/>
  <c r="K8" i="4" s="1"/>
  <c r="M7" i="4"/>
  <c r="J7" i="3"/>
  <c r="S7" i="3" s="1"/>
  <c r="E13" i="3"/>
  <c r="N13" i="3" s="1"/>
  <c r="I13" i="3"/>
  <c r="R13" i="3" s="1"/>
  <c r="J13" i="3"/>
  <c r="S13" i="3" s="1"/>
  <c r="K13" i="3"/>
  <c r="T13" i="3" s="1"/>
  <c r="E14" i="3"/>
  <c r="N14" i="3" s="1"/>
  <c r="I14" i="3"/>
  <c r="R14" i="3" s="1"/>
  <c r="J14" i="3"/>
  <c r="S14" i="3" s="1"/>
  <c r="K14" i="3"/>
  <c r="T14" i="3" s="1"/>
  <c r="W14" i="3" s="1"/>
  <c r="E15" i="3"/>
  <c r="M15" i="3" s="1"/>
  <c r="I15" i="3"/>
  <c r="R15" i="3" s="1"/>
  <c r="J15" i="3"/>
  <c r="S15" i="3" s="1"/>
  <c r="K15" i="3"/>
  <c r="T15" i="3" s="1"/>
  <c r="E16" i="3"/>
  <c r="L16" i="3" s="1"/>
  <c r="I16" i="3"/>
  <c r="R16" i="3" s="1"/>
  <c r="U16" i="3" s="1"/>
  <c r="J16" i="3"/>
  <c r="S16" i="3" s="1"/>
  <c r="K16" i="3"/>
  <c r="T16" i="3" s="1"/>
  <c r="E17" i="3"/>
  <c r="N17" i="3" s="1"/>
  <c r="I17" i="3"/>
  <c r="R17" i="3" s="1"/>
  <c r="J17" i="3"/>
  <c r="S17" i="3" s="1"/>
  <c r="K17" i="3"/>
  <c r="T17" i="3" s="1"/>
  <c r="E18" i="3"/>
  <c r="M18" i="3" s="1"/>
  <c r="I18" i="3"/>
  <c r="R18" i="3" s="1"/>
  <c r="J18" i="3"/>
  <c r="S18" i="3" s="1"/>
  <c r="K18" i="3"/>
  <c r="T18" i="3" s="1"/>
  <c r="E8" i="3"/>
  <c r="M8" i="3" s="1"/>
  <c r="E9" i="3"/>
  <c r="L9" i="3" s="1"/>
  <c r="E10" i="3"/>
  <c r="N10" i="3" s="1"/>
  <c r="E11" i="3"/>
  <c r="N11" i="3" s="1"/>
  <c r="E12" i="3"/>
  <c r="L12" i="3" s="1"/>
  <c r="E7" i="3"/>
  <c r="N7" i="3" s="1"/>
  <c r="J8" i="3"/>
  <c r="S8" i="3" s="1"/>
  <c r="K8" i="3"/>
  <c r="T8" i="3" s="1"/>
  <c r="J9" i="3"/>
  <c r="S9" i="3" s="1"/>
  <c r="K9" i="3"/>
  <c r="T9" i="3" s="1"/>
  <c r="J10" i="3"/>
  <c r="S10" i="3" s="1"/>
  <c r="K10" i="3"/>
  <c r="T10" i="3" s="1"/>
  <c r="J11" i="3"/>
  <c r="S11" i="3" s="1"/>
  <c r="K11" i="3"/>
  <c r="T11" i="3" s="1"/>
  <c r="J12" i="3"/>
  <c r="S12" i="3" s="1"/>
  <c r="K12" i="3"/>
  <c r="T12" i="3" s="1"/>
  <c r="K7" i="3"/>
  <c r="T7" i="3" s="1"/>
  <c r="I8" i="3"/>
  <c r="R8" i="3" s="1"/>
  <c r="I9" i="3"/>
  <c r="R9" i="3" s="1"/>
  <c r="I10" i="3"/>
  <c r="R10" i="3" s="1"/>
  <c r="I11" i="3"/>
  <c r="R11" i="3" s="1"/>
  <c r="I12" i="3"/>
  <c r="R12" i="3" s="1"/>
  <c r="I7" i="3"/>
  <c r="R7" i="3" s="1"/>
  <c r="F17" i="1"/>
  <c r="L14" i="3" l="1"/>
  <c r="D17" i="5"/>
  <c r="C19" i="5"/>
  <c r="W7" i="4"/>
  <c r="V13" i="4"/>
  <c r="V7" i="4"/>
  <c r="W17" i="3"/>
  <c r="C19" i="6"/>
  <c r="C20" i="6" s="1"/>
  <c r="D17" i="6"/>
  <c r="U7" i="4"/>
  <c r="V10" i="4"/>
  <c r="U8" i="4"/>
  <c r="W9" i="4"/>
  <c r="W8" i="4"/>
  <c r="Z8" i="4" s="1"/>
  <c r="V9" i="4"/>
  <c r="Y9" i="4" s="1"/>
  <c r="W16" i="4"/>
  <c r="Z16" i="4" s="1"/>
  <c r="W14" i="4"/>
  <c r="Z14" i="4" s="1"/>
  <c r="W10" i="4"/>
  <c r="Z10" i="4" s="1"/>
  <c r="W15" i="4"/>
  <c r="W18" i="4"/>
  <c r="Z18" i="4" s="1"/>
  <c r="W17" i="4"/>
  <c r="W13" i="4"/>
  <c r="W12" i="4"/>
  <c r="Z12" i="4" s="1"/>
  <c r="W11" i="4"/>
  <c r="V11" i="4"/>
  <c r="Y13" i="4"/>
  <c r="V18" i="4"/>
  <c r="V15" i="4"/>
  <c r="V17" i="4"/>
  <c r="Y17" i="4" s="1"/>
  <c r="V14" i="4"/>
  <c r="V12" i="4"/>
  <c r="V16" i="4"/>
  <c r="V8" i="4"/>
  <c r="U10" i="4"/>
  <c r="U9" i="4"/>
  <c r="U17" i="4"/>
  <c r="U12" i="4"/>
  <c r="U14" i="4"/>
  <c r="U16" i="4"/>
  <c r="U13" i="4"/>
  <c r="U18" i="4"/>
  <c r="U11" i="4"/>
  <c r="X11" i="4" s="1"/>
  <c r="U15" i="4"/>
  <c r="X15" i="4" s="1"/>
  <c r="I12" i="4"/>
  <c r="J11" i="4"/>
  <c r="X7" i="4"/>
  <c r="I8" i="4"/>
  <c r="X8" i="4" s="1"/>
  <c r="K11" i="4"/>
  <c r="J12" i="4"/>
  <c r="J15" i="4"/>
  <c r="I16" i="4"/>
  <c r="J8" i="4"/>
  <c r="K15" i="4"/>
  <c r="J16" i="4"/>
  <c r="I9" i="4"/>
  <c r="K7" i="4"/>
  <c r="Z7" i="4" s="1"/>
  <c r="J7" i="4"/>
  <c r="I10" i="4"/>
  <c r="J10" i="4"/>
  <c r="I14" i="4"/>
  <c r="I18" i="4"/>
  <c r="K9" i="4"/>
  <c r="Z9" i="4" s="1"/>
  <c r="K13" i="4"/>
  <c r="J14" i="4"/>
  <c r="J18" i="4"/>
  <c r="K17" i="4"/>
  <c r="I13" i="4"/>
  <c r="I17" i="4"/>
  <c r="V18" i="3"/>
  <c r="L15" i="3"/>
  <c r="U15" i="3" s="1"/>
  <c r="M17" i="3"/>
  <c r="V17" i="3" s="1"/>
  <c r="V15" i="3"/>
  <c r="U9" i="3"/>
  <c r="L17" i="3"/>
  <c r="U17" i="3" s="1"/>
  <c r="U14" i="3"/>
  <c r="N15" i="3"/>
  <c r="W15" i="3" s="1"/>
  <c r="W13" i="3"/>
  <c r="W7" i="3"/>
  <c r="M14" i="3"/>
  <c r="V14" i="3" s="1"/>
  <c r="L7" i="3"/>
  <c r="U7" i="3" s="1"/>
  <c r="M13" i="3"/>
  <c r="V13" i="3" s="1"/>
  <c r="L13" i="3"/>
  <c r="U13" i="3" s="1"/>
  <c r="L18" i="3"/>
  <c r="U18" i="3" s="1"/>
  <c r="N16" i="3"/>
  <c r="W16" i="3" s="1"/>
  <c r="N18" i="3"/>
  <c r="W18" i="3" s="1"/>
  <c r="M16" i="3"/>
  <c r="V16" i="3" s="1"/>
  <c r="N9" i="3"/>
  <c r="W9" i="3" s="1"/>
  <c r="V8" i="3"/>
  <c r="L8" i="3"/>
  <c r="U8" i="3" s="1"/>
  <c r="U12" i="3"/>
  <c r="N8" i="3"/>
  <c r="W8" i="3" s="1"/>
  <c r="W11" i="3"/>
  <c r="W10" i="3"/>
  <c r="M7" i="3"/>
  <c r="V7" i="3" s="1"/>
  <c r="M9" i="3"/>
  <c r="V9" i="3" s="1"/>
  <c r="L11" i="3"/>
  <c r="U11" i="3" s="1"/>
  <c r="N12" i="3"/>
  <c r="W12" i="3" s="1"/>
  <c r="M12" i="3"/>
  <c r="V12" i="3" s="1"/>
  <c r="M11" i="3"/>
  <c r="V11" i="3" s="1"/>
  <c r="M10" i="3"/>
  <c r="V10" i="3" s="1"/>
  <c r="L10" i="3"/>
  <c r="U10" i="3" s="1"/>
  <c r="D20" i="1"/>
  <c r="B19" i="1"/>
  <c r="B18" i="1"/>
  <c r="B17" i="1"/>
  <c r="B12" i="1"/>
  <c r="D9" i="1"/>
  <c r="D11" i="1"/>
  <c r="D10" i="1"/>
  <c r="X17" i="3" l="1"/>
  <c r="D19" i="6"/>
  <c r="B20" i="1"/>
  <c r="D21" i="1" s="1"/>
  <c r="X15" i="3"/>
  <c r="C20" i="5"/>
  <c r="D19" i="5"/>
  <c r="Z11" i="4"/>
  <c r="Y10" i="4"/>
  <c r="X12" i="4"/>
  <c r="X10" i="4"/>
  <c r="Z17" i="4"/>
  <c r="Z13" i="4"/>
  <c r="X9" i="4"/>
  <c r="AA9" i="4" s="1"/>
  <c r="Y11" i="4"/>
  <c r="Y8" i="4"/>
  <c r="AA8" i="4" s="1"/>
  <c r="AB8" i="4" s="1"/>
  <c r="X17" i="4"/>
  <c r="Z15" i="4"/>
  <c r="Y14" i="4"/>
  <c r="Y16" i="4"/>
  <c r="Y18" i="4"/>
  <c r="Y15" i="4"/>
  <c r="Y12" i="4"/>
  <c r="AA12" i="4" s="1"/>
  <c r="X13" i="4"/>
  <c r="Y7" i="4"/>
  <c r="X18" i="4"/>
  <c r="X14" i="4"/>
  <c r="X16" i="4"/>
  <c r="X13" i="3"/>
  <c r="X14" i="3"/>
  <c r="X18" i="3"/>
  <c r="X16" i="3"/>
  <c r="X8" i="3"/>
  <c r="Y8" i="3" s="1"/>
  <c r="X9" i="3"/>
  <c r="Y9" i="3" s="1"/>
  <c r="X7" i="3"/>
  <c r="Y7" i="3" s="1"/>
  <c r="X12" i="3"/>
  <c r="X10" i="3"/>
  <c r="X11" i="3"/>
  <c r="Y11" i="3" s="1"/>
  <c r="J10" i="1"/>
  <c r="J11" i="1"/>
  <c r="J9" i="1"/>
  <c r="H10" i="1"/>
  <c r="H11" i="1"/>
  <c r="H9" i="1"/>
  <c r="F10" i="1"/>
  <c r="F11" i="1"/>
  <c r="F9" i="1"/>
  <c r="F12" i="1" l="1"/>
  <c r="F20" i="1" s="1"/>
  <c r="F23" i="1" s="1"/>
  <c r="AA11" i="4"/>
  <c r="AA10" i="4"/>
  <c r="AB10" i="4" s="1"/>
  <c r="AA17" i="4"/>
  <c r="AA15" i="4"/>
  <c r="AA7" i="4"/>
  <c r="AB7" i="4" s="1"/>
  <c r="AA13" i="4"/>
  <c r="AA16" i="4"/>
  <c r="AA14" i="4"/>
  <c r="AA18" i="4"/>
  <c r="AB12" i="4"/>
  <c r="AB11" i="4"/>
  <c r="Y10" i="3"/>
  <c r="Y12" i="3"/>
  <c r="F13" i="1"/>
  <c r="D12" i="1"/>
  <c r="D13" i="1" s="1"/>
  <c r="H12" i="1"/>
  <c r="J12" i="1"/>
  <c r="J13" i="1" s="1"/>
  <c r="AB14" i="4" l="1"/>
  <c r="AB13" i="4"/>
  <c r="AB15" i="4"/>
  <c r="AB18" i="4" s="1"/>
  <c r="Y14" i="3"/>
  <c r="Y13" i="3"/>
  <c r="Y15" i="3"/>
  <c r="H13" i="1"/>
  <c r="H20" i="1"/>
  <c r="H21" i="1" s="1"/>
  <c r="F21" i="1"/>
  <c r="AB17" i="4" l="1"/>
  <c r="AB16" i="4"/>
  <c r="Y17" i="3"/>
  <c r="Y16" i="3"/>
  <c r="Y18" i="3"/>
  <c r="J20" i="1"/>
</calcChain>
</file>

<file path=xl/sharedStrings.xml><?xml version="1.0" encoding="utf-8"?>
<sst xmlns="http://schemas.openxmlformats.org/spreadsheetml/2006/main" count="134" uniqueCount="74">
  <si>
    <t>SILAHKAN KLIK FILE - BUAT SALINAN/MAKE A COPY ATAU KLIK FILE - DOWNLOAD</t>
  </si>
  <si>
    <t>TOOLS NILAI IKPA KUALITAS PENGELOLAAN UP/TUP</t>
  </si>
  <si>
    <t>Tabel Simulasi GUP dengan 28, 30, dan 31 Hari yang disebulankan</t>
  </si>
  <si>
    <t>KHUSUS SETIAP GUP</t>
  </si>
  <si>
    <t>Hari SP2D GUP maksimal (hari ke-)</t>
  </si>
  <si>
    <t>Nilai IKPA maksimal 100</t>
  </si>
  <si>
    <t>Silahkan ubah/ganti data pada kolom yg berwarna kuning saja</t>
  </si>
  <si>
    <t>Hari yg disebulankan</t>
  </si>
  <si>
    <t>% GUP</t>
  </si>
  <si>
    <t>Nilai UP</t>
  </si>
  <si>
    <t>Nilai Rencana GUP</t>
  </si>
  <si>
    <t>Persentase GUP</t>
  </si>
  <si>
    <r>
      <rPr>
        <sz val="11"/>
        <color theme="1"/>
        <rFont val="Calibri"/>
        <family val="2"/>
      </rPr>
      <t xml:space="preserve">Format Isi Tanggal </t>
    </r>
    <r>
      <rPr>
        <b/>
        <sz val="11"/>
        <color theme="1"/>
        <rFont val="Calibri"/>
        <family val="2"/>
      </rPr>
      <t>(MM/DD/YY)</t>
    </r>
  </si>
  <si>
    <t xml:space="preserve">Tanggal GUP Maksimal  </t>
  </si>
  <si>
    <t>Hari yg disebulankan:</t>
  </si>
  <si>
    <t>Tanggal GUP Sebelumnya</t>
  </si>
  <si>
    <t>Hari GUP SP2D:</t>
  </si>
  <si>
    <r>
      <rPr>
        <b/>
        <sz val="14"/>
        <color theme="1"/>
        <rFont val="Calibri"/>
        <family val="2"/>
      </rPr>
      <t>Tanggal Rencana GUP</t>
    </r>
    <r>
      <rPr>
        <b/>
        <sz val="14"/>
        <color rgb="FF00B050"/>
        <rFont val="Calibri"/>
        <family val="2"/>
      </rPr>
      <t xml:space="preserve"> (SP2D)</t>
    </r>
  </si>
  <si>
    <t>Nilai IKPA Kualitas GUP</t>
  </si>
  <si>
    <t>Catatan :</t>
  </si>
  <si>
    <t>1. Jika ingin menggunakan TUP harus sesuai antara permintaan dan pertanggungjawaban, hindari adanya SSBP</t>
  </si>
  <si>
    <t>2. Perhatikan GUP terakhir, jangan sampai terlambat</t>
  </si>
  <si>
    <r>
      <rPr>
        <sz val="11"/>
        <color theme="1"/>
        <rFont val="Calibri"/>
        <family val="2"/>
      </rPr>
      <t xml:space="preserve">3. Hati2 untuk keterlambatan GUP di </t>
    </r>
    <r>
      <rPr>
        <b/>
        <sz val="11"/>
        <color theme="1"/>
        <rFont val="Calibri"/>
        <family val="2"/>
      </rPr>
      <t xml:space="preserve">tanggal jika ada </t>
    </r>
    <r>
      <rPr>
        <sz val="11"/>
        <color theme="1"/>
        <rFont val="Calibri"/>
        <family val="2"/>
      </rPr>
      <t>libur bersama</t>
    </r>
  </si>
  <si>
    <t>Copyright Subbagian Perbendaharaan - Bagian Keuangan - Sekretariat DJPb</t>
  </si>
  <si>
    <r>
      <rPr>
        <sz val="11"/>
        <color theme="1"/>
        <rFont val="Calibri"/>
        <family val="2"/>
      </rPr>
      <t xml:space="preserve">Format Isi Tanggal </t>
    </r>
    <r>
      <rPr>
        <b/>
        <sz val="11"/>
        <color theme="1"/>
        <rFont val="Calibri"/>
        <family val="2"/>
      </rPr>
      <t>(Bulan/Tanggal/Tahun)</t>
    </r>
  </si>
  <si>
    <r>
      <rPr>
        <sz val="11"/>
        <color theme="1"/>
        <rFont val="Calibri"/>
        <family val="2"/>
      </rPr>
      <t>khusus SPM sebelumnya antara tanggal</t>
    </r>
    <r>
      <rPr>
        <b/>
        <sz val="11"/>
        <color rgb="FFFF0000"/>
        <rFont val="Calibri"/>
        <family val="2"/>
      </rPr>
      <t xml:space="preserve"> 6 Maret 2024 s.d. 5 April 2024</t>
    </r>
  </si>
  <si>
    <t>HANYA UBAH KOLOM WARNA KUNING</t>
  </si>
  <si>
    <t xml:space="preserve">SIMULASI PERHITUNGAN REALISASI IKPA </t>
  </si>
  <si>
    <t>Bulan</t>
  </si>
  <si>
    <t>Pagu Netto</t>
  </si>
  <si>
    <t xml:space="preserve"> Target IKPA (%)</t>
  </si>
  <si>
    <t>Proporsi Pagu (%)</t>
  </si>
  <si>
    <t>Target Rp</t>
  </si>
  <si>
    <t xml:space="preserve"> Realisasi Bulanan Rp</t>
  </si>
  <si>
    <t>Akumulasi Realisasi Rp</t>
  </si>
  <si>
    <r>
      <t xml:space="preserve">PA = </t>
    </r>
    <r>
      <rPr>
        <sz val="12"/>
        <color rgb="FFFFFFFF"/>
        <rFont val="Segoe UI"/>
        <family val="2"/>
      </rPr>
      <t>Akumulasi</t>
    </r>
    <r>
      <rPr>
        <b/>
        <sz val="12"/>
        <color rgb="FFFFFFFF"/>
        <rFont val="Segoe UI"/>
        <family val="2"/>
      </rPr>
      <t xml:space="preserve"> </t>
    </r>
    <r>
      <rPr>
        <sz val="12"/>
        <color rgb="FFFFFFFF"/>
        <rFont val="Segoe UI"/>
        <family val="2"/>
      </rPr>
      <t>Realisasi Rp/ Target Rp</t>
    </r>
  </si>
  <si>
    <r>
      <t xml:space="preserve">NKPA Tertimbang </t>
    </r>
    <r>
      <rPr>
        <sz val="12"/>
        <color rgb="FFFFFFFF"/>
        <rFont val="Segoe UI"/>
        <family val="2"/>
      </rPr>
      <t>= PA x Proporsi Pagu</t>
    </r>
  </si>
  <si>
    <t>NKPAT Seluruh JB</t>
  </si>
  <si>
    <t>Nilai IKPA</t>
  </si>
  <si>
    <t>Total Pagu</t>
  </si>
  <si>
    <t>Jan</t>
  </si>
  <si>
    <t>Feb</t>
  </si>
  <si>
    <t>Mar</t>
  </si>
  <si>
    <t>khusus indikator penyerapan TW1 formula lama diisi manual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</si>
  <si>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</si>
  <si>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</si>
  <si>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</si>
  <si>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</si>
  <si>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</si>
  <si>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</si>
  <si>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</si>
  <si>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</si>
  <si>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</si>
  <si>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Realisasi</t>
  </si>
  <si>
    <t>PA = Realisasi / Target</t>
  </si>
  <si>
    <t>NKPA Tertimbang</t>
  </si>
  <si>
    <t>PENYERAPAN ANGGARAN TA.2024</t>
  </si>
  <si>
    <t>Belanja</t>
  </si>
  <si>
    <t>Pagu</t>
  </si>
  <si>
    <t>Triw 1</t>
  </si>
  <si>
    <t>Target Realisasi*</t>
  </si>
  <si>
    <t>Triw 2</t>
  </si>
  <si>
    <t>Target Realisasi**</t>
  </si>
  <si>
    <t>Triw 3</t>
  </si>
  <si>
    <t>Target Realisasi***</t>
  </si>
  <si>
    <t>Triw 4</t>
  </si>
  <si>
    <t>Target Realisasi****</t>
  </si>
  <si>
    <t>Pegawai</t>
  </si>
  <si>
    <t>Barang</t>
  </si>
  <si>
    <t>Modal</t>
  </si>
  <si>
    <t>Jumlah</t>
  </si>
  <si>
    <t>Target Penyerapan Tw</t>
  </si>
  <si>
    <t>Realisasi OMSPAN*</t>
  </si>
  <si>
    <t>Realisasi OMSPAN**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</si>
</sst>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_);_(* \(#,##0\);_(* &quot;-&quot;_);_(@_)"/>
    <numFmt numFmtId="165" formatCode="#,##0.00,,,"/>
    <numFmt numFmtId="166" formatCode="_-* #,##0_-;\-* #,##0_-;_-* &quot;-&quot;??_-;_-@_-"/>
    <numFmt numFmtId="167" formatCode="0\ &quot;hari&quot;"/>
    <numFmt numFmtId="168" formatCode="_-* #,##0_-;\-* #,##0_-;_-* &quot;-&quot;_-;_-@"/>
    <numFmt numFmtId="169" formatCode="_-* #,##0_-;\-* #,##0_-;_-* &quot;-&quot;??_-;_-@"/>
  </numFmts>
  <fonts count="3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8"/>
      <color theme="1"/>
      <name val="Calibri"/>
      <family val="2"/>
      <charset val="1"/>
      <scheme val="minor"/>
    </font>
    <font>
      <sz val="12"/>
      <color rgb="FFFF0000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2"/>
      <color rgb="FFFFFFFF"/>
      <name val="Segoe UI"/>
      <family val="2"/>
    </font>
    <font>
      <b/>
      <sz val="12"/>
      <color rgb="FF000000"/>
      <name val="Segoe UI"/>
      <family val="2"/>
    </font>
    <font>
      <sz val="12"/>
      <color rgb="FF000000"/>
      <name val="Segoe UI"/>
      <family val="2"/>
    </font>
    <font>
      <b/>
      <sz val="12"/>
      <color theme="0"/>
      <name val="Segoe UI"/>
      <family val="2"/>
    </font>
    <font>
      <sz val="14"/>
      <color theme="1"/>
      <name val="Calibri"/>
      <family val="2"/>
      <scheme val="minor"/>
    </font>
    <font>
      <sz val="12"/>
      <color rgb="FFFFFFFF"/>
      <name val="Segoe UI"/>
      <family val="2"/>
    </font>
    <font>
      <sz val="11"/>
      <color rgb="FF000000"/>
      <name val="Calibri"/>
      <family val="2"/>
      <scheme val="minor"/>
    </font>
    <font>
      <b/>
      <sz val="15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u/>
      <sz val="18"/>
      <color rgb="FFFF0000"/>
      <name val="Calibri"/>
      <family val="2"/>
    </font>
    <font>
      <b/>
      <sz val="11"/>
      <color theme="0"/>
      <name val="Calibri"/>
      <family val="2"/>
    </font>
    <font>
      <sz val="14"/>
      <color theme="1"/>
      <name val="Calibri"/>
      <family val="2"/>
    </font>
    <font>
      <b/>
      <sz val="14"/>
      <color rgb="FF1E1E1E"/>
      <name val="Quattrocento Sans"/>
    </font>
    <font>
      <b/>
      <sz val="14"/>
      <color rgb="FF00B050"/>
      <name val="Calibri"/>
      <family val="2"/>
    </font>
    <font>
      <sz val="14"/>
      <color rgb="FFFF0000"/>
      <name val="Calibri"/>
      <family val="2"/>
    </font>
    <font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5FA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1F3864"/>
      </patternFill>
    </fill>
    <fill>
      <patternFill patternType="solid">
        <fgColor rgb="FF1F497D"/>
        <bgColor rgb="FF1F497D"/>
      </patternFill>
    </fill>
    <fill>
      <patternFill patternType="solid">
        <fgColor rgb="FFEAF1DD"/>
        <bgColor rgb="FFEAF1DD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rgb="FFD99594"/>
        <bgColor rgb="FFD99594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</cellStyleXfs>
  <cellXfs count="143">
    <xf numFmtId="0" fontId="0" fillId="0" borderId="0" xfId="0"/>
    <xf numFmtId="0" fontId="2" fillId="0" borderId="0" xfId="0" applyFont="1" applyAlignment="1">
      <alignment horizontal="left"/>
    </xf>
    <xf numFmtId="0" fontId="3" fillId="0" borderId="1" xfId="0" applyFont="1" applyBorder="1"/>
    <xf numFmtId="164" fontId="3" fillId="3" borderId="1" xfId="1" applyFont="1" applyFill="1" applyBorder="1"/>
    <xf numFmtId="164" fontId="5" fillId="0" borderId="1" xfId="1" applyFont="1" applyBorder="1"/>
    <xf numFmtId="0" fontId="3" fillId="0" borderId="0" xfId="0" applyFont="1"/>
    <xf numFmtId="2" fontId="3" fillId="0" borderId="0" xfId="0" applyNumberFormat="1" applyFont="1"/>
    <xf numFmtId="0" fontId="6" fillId="0" borderId="1" xfId="0" applyFont="1" applyBorder="1"/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164" fontId="3" fillId="2" borderId="1" xfId="1" applyFont="1" applyFill="1" applyBorder="1"/>
    <xf numFmtId="2" fontId="6" fillId="4" borderId="1" xfId="0" applyNumberFormat="1" applyFont="1" applyFill="1" applyBorder="1"/>
    <xf numFmtId="0" fontId="0" fillId="2" borderId="0" xfId="0" applyFill="1"/>
    <xf numFmtId="0" fontId="8" fillId="2" borderId="0" xfId="0" applyFont="1" applyFill="1"/>
    <xf numFmtId="165" fontId="0" fillId="0" borderId="0" xfId="2" applyNumberFormat="1" applyFont="1" applyAlignment="1">
      <alignment horizontal="center" vertical="center"/>
    </xf>
    <xf numFmtId="164" fontId="3" fillId="0" borderId="1" xfId="1" applyFont="1" applyFill="1" applyBorder="1"/>
    <xf numFmtId="164" fontId="0" fillId="0" borderId="0" xfId="0" applyNumberFormat="1"/>
    <xf numFmtId="2" fontId="10" fillId="0" borderId="0" xfId="0" applyNumberFormat="1" applyFont="1"/>
    <xf numFmtId="0" fontId="10" fillId="0" borderId="0" xfId="0" applyFont="1"/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166" fontId="0" fillId="0" borderId="0" xfId="0" applyNumberFormat="1"/>
    <xf numFmtId="2" fontId="6" fillId="7" borderId="1" xfId="0" applyNumberFormat="1" applyFont="1" applyFill="1" applyBorder="1"/>
    <xf numFmtId="164" fontId="3" fillId="8" borderId="1" xfId="1" applyFont="1" applyFill="1" applyBorder="1"/>
    <xf numFmtId="166" fontId="3" fillId="2" borderId="1" xfId="2" applyNumberFormat="1" applyFont="1" applyFill="1" applyBorder="1"/>
    <xf numFmtId="164" fontId="9" fillId="0" borderId="0" xfId="0" applyNumberFormat="1" applyFont="1"/>
    <xf numFmtId="0" fontId="15" fillId="12" borderId="2" xfId="0" applyFont="1" applyFill="1" applyBorder="1" applyAlignment="1">
      <alignment horizontal="center" vertical="center" wrapText="1" readingOrder="1"/>
    </xf>
    <xf numFmtId="0" fontId="15" fillId="12" borderId="2" xfId="0" applyFont="1" applyFill="1" applyBorder="1" applyAlignment="1">
      <alignment horizontal="center" wrapText="1" readingOrder="1"/>
    </xf>
    <xf numFmtId="0" fontId="14" fillId="15" borderId="2" xfId="0" applyFont="1" applyFill="1" applyBorder="1" applyAlignment="1">
      <alignment horizontal="center" vertical="center" wrapText="1" readingOrder="1"/>
    </xf>
    <xf numFmtId="0" fontId="13" fillId="11" borderId="7" xfId="0" applyFont="1" applyFill="1" applyBorder="1" applyAlignment="1">
      <alignment horizontal="center" vertical="center" wrapText="1" readingOrder="1"/>
    </xf>
    <xf numFmtId="0" fontId="14" fillId="16" borderId="2" xfId="0" applyFont="1" applyFill="1" applyBorder="1" applyAlignment="1">
      <alignment horizontal="center" vertical="center" wrapText="1" readingOrder="1"/>
    </xf>
    <xf numFmtId="0" fontId="16" fillId="17" borderId="2" xfId="0" applyFont="1" applyFill="1" applyBorder="1" applyAlignment="1">
      <alignment horizontal="center" vertical="center" wrapText="1" readingOrder="1"/>
    </xf>
    <xf numFmtId="1" fontId="15" fillId="14" borderId="2" xfId="0" applyNumberFormat="1" applyFont="1" applyFill="1" applyBorder="1" applyAlignment="1">
      <alignment horizontal="center" vertical="center" wrapText="1" readingOrder="1"/>
    </xf>
    <xf numFmtId="2" fontId="15" fillId="13" borderId="2" xfId="0" applyNumberFormat="1" applyFont="1" applyFill="1" applyBorder="1" applyAlignment="1">
      <alignment horizontal="center" vertical="center" wrapText="1" readingOrder="1"/>
    </xf>
    <xf numFmtId="2" fontId="15" fillId="12" borderId="2" xfId="0" applyNumberFormat="1" applyFont="1" applyFill="1" applyBorder="1" applyAlignment="1">
      <alignment horizontal="center" vertical="center" wrapText="1" readingOrder="1"/>
    </xf>
    <xf numFmtId="2" fontId="14" fillId="15" borderId="2" xfId="0" applyNumberFormat="1" applyFont="1" applyFill="1" applyBorder="1" applyAlignment="1">
      <alignment horizontal="center" vertical="center" wrapText="1" readingOrder="1"/>
    </xf>
    <xf numFmtId="1" fontId="15" fillId="10" borderId="2" xfId="0" applyNumberFormat="1" applyFont="1" applyFill="1" applyBorder="1" applyAlignment="1">
      <alignment horizontal="center" vertical="center" wrapText="1" readingOrder="1"/>
    </xf>
    <xf numFmtId="0" fontId="15" fillId="18" borderId="2" xfId="0" applyFont="1" applyFill="1" applyBorder="1" applyAlignment="1">
      <alignment horizontal="center" vertical="center" wrapText="1" readingOrder="1"/>
    </xf>
    <xf numFmtId="0" fontId="17" fillId="0" borderId="0" xfId="0" applyFont="1"/>
    <xf numFmtId="166" fontId="15" fillId="2" borderId="2" xfId="2" applyNumberFormat="1" applyFont="1" applyFill="1" applyBorder="1" applyAlignment="1">
      <alignment horizontal="center" vertical="center" wrapText="1" readingOrder="1"/>
    </xf>
    <xf numFmtId="166" fontId="15" fillId="9" borderId="2" xfId="2" applyNumberFormat="1" applyFont="1" applyFill="1" applyBorder="1" applyAlignment="1">
      <alignment horizontal="center" vertical="center" wrapText="1" readingOrder="1"/>
    </xf>
    <xf numFmtId="166" fontId="15" fillId="2" borderId="2" xfId="2" applyNumberFormat="1" applyFont="1" applyFill="1" applyBorder="1" applyAlignment="1" applyProtection="1">
      <alignment horizontal="center" vertical="center" wrapText="1" readingOrder="1"/>
      <protection locked="0"/>
    </xf>
    <xf numFmtId="43" fontId="0" fillId="2" borderId="0" xfId="2" applyFont="1" applyFill="1"/>
    <xf numFmtId="43" fontId="13" fillId="11" borderId="7" xfId="2" applyFont="1" applyFill="1" applyBorder="1" applyAlignment="1">
      <alignment horizontal="center" vertical="center" wrapText="1" readingOrder="1"/>
    </xf>
    <xf numFmtId="43" fontId="0" fillId="0" borderId="0" xfId="2" applyFont="1"/>
    <xf numFmtId="166" fontId="0" fillId="0" borderId="0" xfId="2" applyNumberFormat="1" applyFont="1"/>
    <xf numFmtId="166" fontId="0" fillId="2" borderId="0" xfId="2" applyNumberFormat="1" applyFont="1" applyFill="1"/>
    <xf numFmtId="43" fontId="15" fillId="14" borderId="2" xfId="2" applyFont="1" applyFill="1" applyBorder="1" applyAlignment="1">
      <alignment horizontal="center" vertical="center" wrapText="1" readingOrder="1"/>
    </xf>
    <xf numFmtId="43" fontId="15" fillId="13" borderId="2" xfId="2" applyFont="1" applyFill="1" applyBorder="1" applyAlignment="1">
      <alignment horizontal="center" vertical="center" wrapText="1" readingOrder="1"/>
    </xf>
    <xf numFmtId="166" fontId="9" fillId="0" borderId="0" xfId="0" applyNumberFormat="1" applyFont="1"/>
    <xf numFmtId="1" fontId="15" fillId="2" borderId="2" xfId="0" applyNumberFormat="1" applyFont="1" applyFill="1" applyBorder="1" applyAlignment="1" applyProtection="1">
      <alignment horizontal="center" vertical="center" wrapText="1" readingOrder="1"/>
      <protection locked="0"/>
    </xf>
    <xf numFmtId="166" fontId="15" fillId="19" borderId="2" xfId="2" applyNumberFormat="1" applyFont="1" applyFill="1" applyBorder="1" applyAlignment="1" applyProtection="1">
      <alignment horizontal="center" vertical="center" wrapText="1" readingOrder="1"/>
      <protection locked="0"/>
    </xf>
    <xf numFmtId="0" fontId="14" fillId="16" borderId="2" xfId="0" applyFont="1" applyFill="1" applyBorder="1" applyAlignment="1">
      <alignment vertical="center" wrapText="1" readingOrder="1"/>
    </xf>
    <xf numFmtId="166" fontId="14" fillId="16" borderId="2" xfId="2" applyNumberFormat="1" applyFont="1" applyFill="1" applyBorder="1" applyAlignment="1">
      <alignment vertical="center" wrapText="1" readingOrder="1"/>
    </xf>
    <xf numFmtId="43" fontId="14" fillId="16" borderId="2" xfId="2" applyFont="1" applyFill="1" applyBorder="1" applyAlignment="1">
      <alignment vertical="center" wrapText="1" readingOrder="1"/>
    </xf>
    <xf numFmtId="2" fontId="14" fillId="2" borderId="2" xfId="0" applyNumberFormat="1" applyFont="1" applyFill="1" applyBorder="1" applyAlignment="1" applyProtection="1">
      <alignment horizontal="center" vertical="center" wrapText="1" readingOrder="1"/>
      <protection locked="0"/>
    </xf>
    <xf numFmtId="166" fontId="15" fillId="18" borderId="2" xfId="2" applyNumberFormat="1" applyFont="1" applyFill="1" applyBorder="1" applyAlignment="1">
      <alignment horizontal="center" vertical="center" wrapText="1" readingOrder="1"/>
    </xf>
    <xf numFmtId="10" fontId="0" fillId="0" borderId="0" xfId="3" applyNumberFormat="1" applyFont="1"/>
    <xf numFmtId="0" fontId="2" fillId="0" borderId="0" xfId="0" applyFont="1"/>
    <xf numFmtId="0" fontId="20" fillId="20" borderId="0" xfId="4" applyFont="1" applyFill="1"/>
    <xf numFmtId="0" fontId="21" fillId="20" borderId="0" xfId="4" applyFont="1" applyFill="1"/>
    <xf numFmtId="0" fontId="19" fillId="0" borderId="0" xfId="4"/>
    <xf numFmtId="0" fontId="22" fillId="20" borderId="0" xfId="4" applyFont="1" applyFill="1"/>
    <xf numFmtId="0" fontId="22" fillId="0" borderId="0" xfId="4" applyFont="1"/>
    <xf numFmtId="0" fontId="22" fillId="21" borderId="2" xfId="4" applyFont="1" applyFill="1" applyBorder="1" applyAlignment="1">
      <alignment horizontal="center"/>
    </xf>
    <xf numFmtId="0" fontId="27" fillId="23" borderId="2" xfId="4" applyFont="1" applyFill="1" applyBorder="1" applyAlignment="1">
      <alignment horizontal="center" wrapText="1"/>
    </xf>
    <xf numFmtId="0" fontId="27" fillId="23" borderId="2" xfId="4" applyFont="1" applyFill="1" applyBorder="1" applyAlignment="1">
      <alignment horizontal="center" vertical="center"/>
    </xf>
    <xf numFmtId="0" fontId="25" fillId="21" borderId="13" xfId="4" applyFont="1" applyFill="1" applyBorder="1"/>
    <xf numFmtId="0" fontId="22" fillId="21" borderId="0" xfId="4" applyFont="1" applyFill="1" applyAlignment="1">
      <alignment horizontal="center"/>
    </xf>
    <xf numFmtId="0" fontId="22" fillId="21" borderId="0" xfId="4" applyFont="1" applyFill="1"/>
    <xf numFmtId="0" fontId="22" fillId="21" borderId="14" xfId="4" applyFont="1" applyFill="1" applyBorder="1"/>
    <xf numFmtId="0" fontId="27" fillId="24" borderId="2" xfId="4" applyFont="1" applyFill="1" applyBorder="1" applyAlignment="1">
      <alignment horizontal="center"/>
    </xf>
    <xf numFmtId="9" fontId="27" fillId="24" borderId="2" xfId="4" applyNumberFormat="1" applyFont="1" applyFill="1" applyBorder="1" applyAlignment="1">
      <alignment horizontal="center"/>
    </xf>
    <xf numFmtId="167" fontId="22" fillId="25" borderId="2" xfId="4" applyNumberFormat="1" applyFont="1" applyFill="1" applyBorder="1" applyAlignment="1">
      <alignment horizontal="center"/>
    </xf>
    <xf numFmtId="167" fontId="22" fillId="26" borderId="2" xfId="4" applyNumberFormat="1" applyFont="1" applyFill="1" applyBorder="1" applyAlignment="1">
      <alignment horizontal="center"/>
    </xf>
    <xf numFmtId="167" fontId="22" fillId="27" borderId="2" xfId="4" applyNumberFormat="1" applyFont="1" applyFill="1" applyBorder="1" applyAlignment="1">
      <alignment horizontal="center"/>
    </xf>
    <xf numFmtId="9" fontId="22" fillId="25" borderId="2" xfId="4" applyNumberFormat="1" applyFont="1" applyFill="1" applyBorder="1" applyAlignment="1">
      <alignment horizontal="center"/>
    </xf>
    <xf numFmtId="9" fontId="22" fillId="26" borderId="2" xfId="4" applyNumberFormat="1" applyFont="1" applyFill="1" applyBorder="1" applyAlignment="1">
      <alignment horizontal="center"/>
    </xf>
    <xf numFmtId="9" fontId="22" fillId="27" borderId="2" xfId="4" applyNumberFormat="1" applyFont="1" applyFill="1" applyBorder="1" applyAlignment="1">
      <alignment horizontal="center"/>
    </xf>
    <xf numFmtId="0" fontId="28" fillId="21" borderId="13" xfId="4" applyFont="1" applyFill="1" applyBorder="1"/>
    <xf numFmtId="168" fontId="28" fillId="22" borderId="0" xfId="4" applyNumberFormat="1" applyFont="1" applyFill="1"/>
    <xf numFmtId="0" fontId="28" fillId="21" borderId="0" xfId="4" applyFont="1" applyFill="1"/>
    <xf numFmtId="0" fontId="28" fillId="21" borderId="14" xfId="4" applyFont="1" applyFill="1" applyBorder="1"/>
    <xf numFmtId="0" fontId="23" fillId="21" borderId="13" xfId="4" applyFont="1" applyFill="1" applyBorder="1"/>
    <xf numFmtId="169" fontId="28" fillId="22" borderId="0" xfId="4" applyNumberFormat="1" applyFont="1" applyFill="1"/>
    <xf numFmtId="10" fontId="23" fillId="21" borderId="0" xfId="4" applyNumberFormat="1" applyFont="1" applyFill="1" applyAlignment="1">
      <alignment horizontal="right"/>
    </xf>
    <xf numFmtId="169" fontId="28" fillId="21" borderId="0" xfId="4" applyNumberFormat="1" applyFont="1" applyFill="1"/>
    <xf numFmtId="0" fontId="22" fillId="21" borderId="0" xfId="4" applyFont="1" applyFill="1" applyAlignment="1">
      <alignment horizontal="center" wrapText="1"/>
    </xf>
    <xf numFmtId="0" fontId="22" fillId="21" borderId="0" xfId="4" applyFont="1" applyFill="1" applyAlignment="1">
      <alignment horizontal="center" vertical="center" wrapText="1"/>
    </xf>
    <xf numFmtId="0" fontId="28" fillId="21" borderId="14" xfId="4" applyFont="1" applyFill="1" applyBorder="1" applyAlignment="1">
      <alignment horizontal="center" vertical="center"/>
    </xf>
    <xf numFmtId="14" fontId="28" fillId="22" borderId="0" xfId="4" applyNumberFormat="1" applyFont="1" applyFill="1" applyAlignment="1">
      <alignment horizontal="center"/>
    </xf>
    <xf numFmtId="14" fontId="28" fillId="28" borderId="0" xfId="4" applyNumberFormat="1" applyFont="1" applyFill="1" applyAlignment="1">
      <alignment horizontal="center"/>
    </xf>
    <xf numFmtId="0" fontId="29" fillId="21" borderId="14" xfId="4" applyFont="1" applyFill="1" applyBorder="1" applyAlignment="1">
      <alignment horizontal="center"/>
    </xf>
    <xf numFmtId="0" fontId="28" fillId="21" borderId="0" xfId="4" applyFont="1" applyFill="1" applyAlignment="1">
      <alignment horizontal="center"/>
    </xf>
    <xf numFmtId="0" fontId="28" fillId="21" borderId="14" xfId="4" applyFont="1" applyFill="1" applyBorder="1" applyAlignment="1">
      <alignment horizontal="center"/>
    </xf>
    <xf numFmtId="0" fontId="28" fillId="29" borderId="0" xfId="4" applyFont="1" applyFill="1" applyAlignment="1">
      <alignment horizontal="center"/>
    </xf>
    <xf numFmtId="0" fontId="28" fillId="21" borderId="13" xfId="4" applyFont="1" applyFill="1" applyBorder="1" applyAlignment="1">
      <alignment vertical="center"/>
    </xf>
    <xf numFmtId="10" fontId="23" fillId="29" borderId="0" xfId="4" applyNumberFormat="1" applyFont="1" applyFill="1" applyAlignment="1">
      <alignment horizontal="center" vertical="center"/>
    </xf>
    <xf numFmtId="0" fontId="22" fillId="20" borderId="0" xfId="4" applyFont="1" applyFill="1" applyAlignment="1">
      <alignment horizontal="center"/>
    </xf>
    <xf numFmtId="9" fontId="22" fillId="20" borderId="0" xfId="4" applyNumberFormat="1" applyFont="1" applyFill="1" applyAlignment="1">
      <alignment horizontal="center"/>
    </xf>
    <xf numFmtId="0" fontId="28" fillId="21" borderId="15" xfId="4" applyFont="1" applyFill="1" applyBorder="1"/>
    <xf numFmtId="0" fontId="30" fillId="21" borderId="16" xfId="4" applyFont="1" applyFill="1" applyBorder="1" applyAlignment="1">
      <alignment horizontal="left"/>
    </xf>
    <xf numFmtId="0" fontId="28" fillId="21" borderId="16" xfId="4" applyFont="1" applyFill="1" applyBorder="1"/>
    <xf numFmtId="0" fontId="28" fillId="21" borderId="17" xfId="4" applyFont="1" applyFill="1" applyBorder="1"/>
    <xf numFmtId="0" fontId="25" fillId="30" borderId="0" xfId="4" applyFont="1" applyFill="1"/>
    <xf numFmtId="0" fontId="22" fillId="30" borderId="0" xfId="4" applyFont="1" applyFill="1" applyAlignment="1">
      <alignment horizontal="center"/>
    </xf>
    <xf numFmtId="0" fontId="22" fillId="30" borderId="0" xfId="4" applyFont="1" applyFill="1"/>
    <xf numFmtId="0" fontId="22" fillId="31" borderId="0" xfId="4" applyFont="1" applyFill="1"/>
    <xf numFmtId="0" fontId="22" fillId="31" borderId="0" xfId="4" applyFont="1" applyFill="1" applyAlignment="1">
      <alignment horizontal="center"/>
    </xf>
    <xf numFmtId="0" fontId="32" fillId="20" borderId="0" xfId="4" applyFont="1" applyFill="1"/>
    <xf numFmtId="0" fontId="27" fillId="20" borderId="0" xfId="4" applyFont="1" applyFill="1" applyAlignment="1">
      <alignment horizontal="center"/>
    </xf>
    <xf numFmtId="0" fontId="32" fillId="20" borderId="0" xfId="4" applyFont="1" applyFill="1" applyAlignment="1">
      <alignment horizontal="center"/>
    </xf>
    <xf numFmtId="0" fontId="22" fillId="0" borderId="0" xfId="4" applyFont="1" applyAlignment="1">
      <alignment horizontal="center"/>
    </xf>
    <xf numFmtId="0" fontId="22" fillId="21" borderId="0" xfId="4" applyFont="1" applyFill="1" applyAlignment="1">
      <alignment horizontal="left" wrapText="1"/>
    </xf>
    <xf numFmtId="0" fontId="31" fillId="21" borderId="0" xfId="4" applyFont="1" applyFill="1" applyAlignment="1">
      <alignment horizontal="left" vertical="center" wrapText="1"/>
    </xf>
    <xf numFmtId="0" fontId="24" fillId="0" borderId="14" xfId="4" applyFont="1" applyBorder="1"/>
    <xf numFmtId="0" fontId="33" fillId="20" borderId="0" xfId="4" applyFont="1" applyFill="1" applyAlignment="1">
      <alignment horizontal="center"/>
    </xf>
    <xf numFmtId="0" fontId="24" fillId="0" borderId="0" xfId="4" applyFont="1"/>
    <xf numFmtId="0" fontId="23" fillId="21" borderId="9" xfId="4" applyFont="1" applyFill="1" applyBorder="1" applyAlignment="1">
      <alignment horizontal="center"/>
    </xf>
    <xf numFmtId="0" fontId="24" fillId="0" borderId="10" xfId="4" applyFont="1" applyBorder="1"/>
    <xf numFmtId="0" fontId="24" fillId="0" borderId="11" xfId="4" applyFont="1" applyBorder="1"/>
    <xf numFmtId="0" fontId="25" fillId="21" borderId="12" xfId="4" applyFont="1" applyFill="1" applyBorder="1" applyAlignment="1">
      <alignment horizontal="center" vertical="top"/>
    </xf>
    <xf numFmtId="0" fontId="24" fillId="0" borderId="12" xfId="4" applyFont="1" applyBorder="1"/>
    <xf numFmtId="0" fontId="23" fillId="21" borderId="13" xfId="4" applyFont="1" applyFill="1" applyBorder="1" applyAlignment="1">
      <alignment horizontal="center" vertical="top"/>
    </xf>
    <xf numFmtId="0" fontId="25" fillId="21" borderId="6" xfId="4" applyFont="1" applyFill="1" applyBorder="1" applyAlignment="1">
      <alignment horizontal="center" wrapText="1"/>
    </xf>
    <xf numFmtId="0" fontId="24" fillId="0" borderId="7" xfId="4" applyFont="1" applyBorder="1"/>
    <xf numFmtId="0" fontId="24" fillId="0" borderId="8" xfId="4" applyFont="1" applyBorder="1"/>
    <xf numFmtId="0" fontId="25" fillId="21" borderId="6" xfId="4" applyFont="1" applyFill="1" applyBorder="1" applyAlignment="1">
      <alignment horizontal="center"/>
    </xf>
    <xf numFmtId="0" fontId="26" fillId="22" borderId="13" xfId="4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 wrapText="1" readingOrder="1"/>
    </xf>
    <xf numFmtId="0" fontId="13" fillId="11" borderId="5" xfId="0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center"/>
    </xf>
    <xf numFmtId="0" fontId="13" fillId="11" borderId="4" xfId="0" applyFont="1" applyFill="1" applyBorder="1" applyAlignment="1">
      <alignment horizontal="center" vertical="center" wrapText="1" readingOrder="1"/>
    </xf>
    <xf numFmtId="0" fontId="13" fillId="11" borderId="6" xfId="0" applyFont="1" applyFill="1" applyBorder="1" applyAlignment="1">
      <alignment horizontal="center" vertical="center" wrapText="1" readingOrder="1"/>
    </xf>
    <xf numFmtId="0" fontId="13" fillId="11" borderId="7" xfId="0" applyFont="1" applyFill="1" applyBorder="1" applyAlignment="1">
      <alignment horizontal="center" vertical="center" wrapText="1" readingOrder="1"/>
    </xf>
    <xf numFmtId="0" fontId="13" fillId="11" borderId="8" xfId="0" applyFont="1" applyFill="1" applyBorder="1" applyAlignment="1">
      <alignment horizontal="center" vertical="center" wrapText="1" readingOrder="1"/>
    </xf>
    <xf numFmtId="166" fontId="13" fillId="11" borderId="6" xfId="2" applyNumberFormat="1" applyFont="1" applyFill="1" applyBorder="1" applyAlignment="1">
      <alignment horizontal="center" vertical="center" wrapText="1" readingOrder="1"/>
    </xf>
    <xf numFmtId="166" fontId="13" fillId="11" borderId="7" xfId="2" applyNumberFormat="1" applyFont="1" applyFill="1" applyBorder="1" applyAlignment="1">
      <alignment horizontal="center" vertical="center" wrapText="1" readingOrder="1"/>
    </xf>
    <xf numFmtId="166" fontId="13" fillId="11" borderId="8" xfId="2" applyNumberFormat="1" applyFont="1" applyFill="1" applyBorder="1" applyAlignment="1">
      <alignment horizontal="center" vertical="center" wrapText="1" readingOrder="1"/>
    </xf>
    <xf numFmtId="43" fontId="13" fillId="11" borderId="6" xfId="2" applyFont="1" applyFill="1" applyBorder="1" applyAlignment="1">
      <alignment horizontal="center" vertical="center" wrapText="1" readingOrder="1"/>
    </xf>
    <xf numFmtId="43" fontId="13" fillId="11" borderId="7" xfId="2" applyFont="1" applyFill="1" applyBorder="1" applyAlignment="1">
      <alignment horizontal="center" vertical="center" wrapText="1" readingOrder="1"/>
    </xf>
    <xf numFmtId="43" fontId="13" fillId="11" borderId="8" xfId="2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center"/>
    </xf>
  </cellXfs>
  <cellStyles count="5">
    <cellStyle name="Comma" xfId="2" builtinId="3"/>
    <cellStyle name="Comma [0]" xfId="1" builtinId="6"/>
    <cellStyle name="Normal" xfId="0" builtinId="0"/>
    <cellStyle name="Normal 2" xfId="4" xr:uid="{17E562A6-D755-43EA-B313-2C37AB88CB2B}"/>
    <cellStyle name="Percent" xfId="3" builtinId="5"/>
  </cellStyles>
  <dxfs count="1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226</xdr:row>
      <xdr:rowOff>190500</xdr:rowOff>
    </xdr:from>
    <xdr:ext cx="6981825" cy="24765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98C3CE4-DDF2-452F-BC7B-E8ADB422E5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6575" y="7137400"/>
          <a:ext cx="6981825" cy="2476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D2E9-AAFD-4B83-8E3B-B5A0C214719C}">
  <sheetPr>
    <tabColor rgb="FF00B050"/>
  </sheetPr>
  <dimension ref="A1:Z1002"/>
  <sheetViews>
    <sheetView showGridLines="0" tabSelected="1" topLeftCell="A3" zoomScale="71" workbookViewId="0">
      <selection activeCell="C11" sqref="C11"/>
    </sheetView>
  </sheetViews>
  <sheetFormatPr defaultColWidth="14.42578125" defaultRowHeight="15" customHeight="1" x14ac:dyDescent="0.25"/>
  <cols>
    <col min="1" max="1" width="6.42578125" style="61" customWidth="1"/>
    <col min="2" max="2" width="36.5703125" style="61" customWidth="1"/>
    <col min="3" max="3" width="20" style="61" customWidth="1"/>
    <col min="4" max="4" width="21.5703125" style="61" customWidth="1"/>
    <col min="5" max="5" width="33.140625" style="61" customWidth="1"/>
    <col min="6" max="6" width="7.140625" style="61" customWidth="1"/>
    <col min="7" max="7" width="13.140625" style="61" customWidth="1"/>
    <col min="8" max="10" width="14.140625" style="61" customWidth="1"/>
    <col min="11" max="13" width="11.85546875" style="61" customWidth="1"/>
    <col min="14" max="14" width="8.7109375" style="61" customWidth="1"/>
    <col min="15" max="26" width="8.7109375" style="61" hidden="1" customWidth="1"/>
    <col min="27" max="16384" width="14.42578125" style="61"/>
  </cols>
  <sheetData>
    <row r="1" spans="1:26" ht="17.25" customHeight="1" x14ac:dyDescent="0.3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26" ht="17.25" customHeight="1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26" ht="17.25" customHeight="1" thickBot="1" x14ac:dyDescent="0.3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</row>
    <row r="4" spans="1:26" ht="19.5" customHeight="1" x14ac:dyDescent="0.3">
      <c r="A4" s="62"/>
      <c r="B4" s="118" t="s">
        <v>1</v>
      </c>
      <c r="C4" s="119"/>
      <c r="D4" s="119"/>
      <c r="E4" s="120"/>
      <c r="F4" s="62"/>
      <c r="G4" s="121" t="s">
        <v>2</v>
      </c>
      <c r="H4" s="122"/>
      <c r="I4" s="122"/>
      <c r="J4" s="122"/>
      <c r="K4" s="122"/>
      <c r="L4" s="122"/>
      <c r="M4" s="122"/>
      <c r="N4" s="62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pans="1:26" ht="18.75" x14ac:dyDescent="0.25">
      <c r="A5" s="62"/>
      <c r="B5" s="123" t="s">
        <v>3</v>
      </c>
      <c r="C5" s="117"/>
      <c r="D5" s="117"/>
      <c r="E5" s="115"/>
      <c r="F5" s="62"/>
      <c r="G5" s="64"/>
      <c r="H5" s="124" t="s">
        <v>4</v>
      </c>
      <c r="I5" s="125"/>
      <c r="J5" s="126"/>
      <c r="K5" s="127" t="s">
        <v>5</v>
      </c>
      <c r="L5" s="125"/>
      <c r="M5" s="126"/>
      <c r="N5" s="62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32.25" customHeight="1" x14ac:dyDescent="0.25">
      <c r="A6" s="62"/>
      <c r="B6" s="128" t="s">
        <v>6</v>
      </c>
      <c r="C6" s="117"/>
      <c r="D6" s="117"/>
      <c r="E6" s="115"/>
      <c r="F6" s="62"/>
      <c r="G6" s="65" t="s">
        <v>7</v>
      </c>
      <c r="H6" s="66">
        <v>28</v>
      </c>
      <c r="I6" s="66">
        <v>30</v>
      </c>
      <c r="J6" s="66">
        <v>31</v>
      </c>
      <c r="K6" s="66">
        <v>28</v>
      </c>
      <c r="L6" s="66">
        <v>30</v>
      </c>
      <c r="M6" s="66">
        <v>31</v>
      </c>
      <c r="N6" s="62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6" x14ac:dyDescent="0.25">
      <c r="A7" s="62"/>
      <c r="B7" s="67"/>
      <c r="C7" s="68"/>
      <c r="D7" s="69"/>
      <c r="E7" s="70"/>
      <c r="F7" s="62"/>
      <c r="G7" s="71" t="s">
        <v>8</v>
      </c>
      <c r="H7" s="64"/>
      <c r="I7" s="64"/>
      <c r="J7" s="64"/>
      <c r="K7" s="64"/>
      <c r="L7" s="64"/>
      <c r="M7" s="64"/>
      <c r="N7" s="62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x14ac:dyDescent="0.25">
      <c r="A8" s="62"/>
      <c r="B8" s="67"/>
      <c r="C8" s="68"/>
      <c r="D8" s="69"/>
      <c r="E8" s="70"/>
      <c r="F8" s="62"/>
      <c r="G8" s="72">
        <v>0.5</v>
      </c>
      <c r="H8" s="73">
        <v>14</v>
      </c>
      <c r="I8" s="74">
        <v>15</v>
      </c>
      <c r="J8" s="75">
        <v>15</v>
      </c>
      <c r="K8" s="76">
        <f t="shared" ref="K8:K18" si="0">G8*($K$6/H8)</f>
        <v>1</v>
      </c>
      <c r="L8" s="77">
        <f t="shared" ref="L8:L18" si="1">G8*($L$6/I8)</f>
        <v>1</v>
      </c>
      <c r="M8" s="78">
        <f t="shared" ref="M8:M18" si="2">G8*($M$6/J8)</f>
        <v>1.0333333333333334</v>
      </c>
      <c r="N8" s="62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18.75" x14ac:dyDescent="0.3">
      <c r="A9" s="62"/>
      <c r="B9" s="79" t="s">
        <v>9</v>
      </c>
      <c r="C9" s="80">
        <v>18000000</v>
      </c>
      <c r="D9" s="81"/>
      <c r="E9" s="82"/>
      <c r="F9" s="62"/>
      <c r="G9" s="72">
        <v>0.55000000000000004</v>
      </c>
      <c r="H9" s="73">
        <v>15</v>
      </c>
      <c r="I9" s="74">
        <v>16</v>
      </c>
      <c r="J9" s="75">
        <v>17</v>
      </c>
      <c r="K9" s="76">
        <f t="shared" si="0"/>
        <v>1.0266666666666668</v>
      </c>
      <c r="L9" s="77">
        <f t="shared" si="1"/>
        <v>1.03125</v>
      </c>
      <c r="M9" s="78">
        <f t="shared" si="2"/>
        <v>1.0029411764705882</v>
      </c>
      <c r="N9" s="62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pans="1:26" ht="18.75" x14ac:dyDescent="0.3">
      <c r="A10" s="62"/>
      <c r="B10" s="83" t="s">
        <v>10</v>
      </c>
      <c r="C10" s="84">
        <v>11000000</v>
      </c>
      <c r="D10" s="81"/>
      <c r="E10" s="82"/>
      <c r="F10" s="62"/>
      <c r="G10" s="72">
        <v>0.6</v>
      </c>
      <c r="H10" s="73">
        <v>16</v>
      </c>
      <c r="I10" s="74">
        <v>17</v>
      </c>
      <c r="J10" s="75">
        <v>18</v>
      </c>
      <c r="K10" s="76">
        <f t="shared" si="0"/>
        <v>1.05</v>
      </c>
      <c r="L10" s="77">
        <f t="shared" si="1"/>
        <v>1.0588235294117647</v>
      </c>
      <c r="M10" s="78">
        <f t="shared" si="2"/>
        <v>1.0333333333333334</v>
      </c>
      <c r="N10" s="62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18.75" x14ac:dyDescent="0.3">
      <c r="A11" s="62"/>
      <c r="B11" s="79" t="s">
        <v>11</v>
      </c>
      <c r="C11" s="85">
        <f>C10/C9</f>
        <v>0.61111111111111116</v>
      </c>
      <c r="D11" s="81"/>
      <c r="E11" s="82"/>
      <c r="F11" s="62"/>
      <c r="G11" s="72">
        <v>0.65</v>
      </c>
      <c r="H11" s="73">
        <v>18</v>
      </c>
      <c r="I11" s="74">
        <v>19</v>
      </c>
      <c r="J11" s="75">
        <v>20</v>
      </c>
      <c r="K11" s="76">
        <f t="shared" si="0"/>
        <v>1.0111111111111111</v>
      </c>
      <c r="L11" s="77">
        <f t="shared" si="1"/>
        <v>1.0263157894736843</v>
      </c>
      <c r="M11" s="78">
        <f t="shared" si="2"/>
        <v>1.0075000000000001</v>
      </c>
      <c r="N11" s="62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18.75" x14ac:dyDescent="0.3">
      <c r="A12" s="62"/>
      <c r="B12" s="79"/>
      <c r="C12" s="86"/>
      <c r="D12" s="81"/>
      <c r="E12" s="82"/>
      <c r="F12" s="62"/>
      <c r="G12" s="72">
        <v>0.7</v>
      </c>
      <c r="H12" s="73">
        <v>19</v>
      </c>
      <c r="I12" s="74">
        <v>21</v>
      </c>
      <c r="J12" s="75">
        <v>21</v>
      </c>
      <c r="K12" s="76">
        <f t="shared" si="0"/>
        <v>1.0315789473684209</v>
      </c>
      <c r="L12" s="77">
        <f t="shared" si="1"/>
        <v>1</v>
      </c>
      <c r="M12" s="78">
        <f t="shared" si="2"/>
        <v>1.0333333333333334</v>
      </c>
      <c r="N12" s="62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44.25" customHeight="1" x14ac:dyDescent="0.3">
      <c r="A13" s="62"/>
      <c r="B13" s="79"/>
      <c r="C13" s="87" t="s">
        <v>12</v>
      </c>
      <c r="D13" s="88" t="s">
        <v>13</v>
      </c>
      <c r="E13" s="89" t="s">
        <v>14</v>
      </c>
      <c r="F13" s="62"/>
      <c r="G13" s="72">
        <v>0.75</v>
      </c>
      <c r="H13" s="73">
        <v>21</v>
      </c>
      <c r="I13" s="74">
        <v>22</v>
      </c>
      <c r="J13" s="75">
        <v>23</v>
      </c>
      <c r="K13" s="76">
        <f t="shared" si="0"/>
        <v>1</v>
      </c>
      <c r="L13" s="77">
        <f t="shared" si="1"/>
        <v>1.0227272727272727</v>
      </c>
      <c r="M13" s="78">
        <f t="shared" si="2"/>
        <v>1.0108695652173914</v>
      </c>
      <c r="N13" s="62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18.75" x14ac:dyDescent="0.3">
      <c r="A14" s="62"/>
      <c r="B14" s="79" t="s">
        <v>15</v>
      </c>
      <c r="C14" s="90">
        <v>46147</v>
      </c>
      <c r="D14" s="91">
        <f>DATE(YEAR(C14),MONTH(C14)+1,DAY(C14))</f>
        <v>46178</v>
      </c>
      <c r="E14" s="92">
        <f>D14-C14</f>
        <v>31</v>
      </c>
      <c r="F14" s="62"/>
      <c r="G14" s="72">
        <v>0.8</v>
      </c>
      <c r="H14" s="73">
        <v>22</v>
      </c>
      <c r="I14" s="74">
        <v>24</v>
      </c>
      <c r="J14" s="75">
        <v>24</v>
      </c>
      <c r="K14" s="76">
        <f t="shared" si="0"/>
        <v>1.0181818181818183</v>
      </c>
      <c r="L14" s="77">
        <f t="shared" si="1"/>
        <v>1</v>
      </c>
      <c r="M14" s="78">
        <f t="shared" si="2"/>
        <v>1.0333333333333334</v>
      </c>
      <c r="N14" s="62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18.75" x14ac:dyDescent="0.3">
      <c r="A15" s="62"/>
      <c r="B15" s="79"/>
      <c r="C15" s="93"/>
      <c r="D15" s="81"/>
      <c r="E15" s="94"/>
      <c r="F15" s="62"/>
      <c r="G15" s="72">
        <v>0.85</v>
      </c>
      <c r="H15" s="73">
        <v>23</v>
      </c>
      <c r="I15" s="74">
        <v>25</v>
      </c>
      <c r="J15" s="75">
        <v>26</v>
      </c>
      <c r="K15" s="76">
        <f t="shared" si="0"/>
        <v>1.0347826086956522</v>
      </c>
      <c r="L15" s="77">
        <f t="shared" si="1"/>
        <v>1.02</v>
      </c>
      <c r="M15" s="78">
        <f t="shared" si="2"/>
        <v>1.0134615384615384</v>
      </c>
      <c r="N15" s="62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21.75" customHeight="1" x14ac:dyDescent="0.3">
      <c r="A16" s="62"/>
      <c r="B16" s="79"/>
      <c r="C16" s="93"/>
      <c r="D16" s="81"/>
      <c r="E16" s="89" t="s">
        <v>16</v>
      </c>
      <c r="F16" s="62"/>
      <c r="G16" s="72">
        <v>0.9</v>
      </c>
      <c r="H16" s="73">
        <v>25</v>
      </c>
      <c r="I16" s="74">
        <v>27</v>
      </c>
      <c r="J16" s="75">
        <v>27</v>
      </c>
      <c r="K16" s="76">
        <f t="shared" si="0"/>
        <v>1.0080000000000002</v>
      </c>
      <c r="L16" s="77">
        <f t="shared" si="1"/>
        <v>1</v>
      </c>
      <c r="M16" s="78">
        <f t="shared" si="2"/>
        <v>1.0333333333333334</v>
      </c>
      <c r="N16" s="62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8.75" x14ac:dyDescent="0.3">
      <c r="A17" s="62"/>
      <c r="B17" s="83" t="s">
        <v>17</v>
      </c>
      <c r="C17" s="90">
        <v>46167</v>
      </c>
      <c r="D17" s="95" t="str">
        <f>IF(C17&lt;=D14,"Tepat Waktu","Terlambat")</f>
        <v>Tepat Waktu</v>
      </c>
      <c r="E17" s="92">
        <f>C17-C14</f>
        <v>20</v>
      </c>
      <c r="F17" s="62"/>
      <c r="G17" s="72">
        <v>0.95</v>
      </c>
      <c r="H17" s="73">
        <v>26</v>
      </c>
      <c r="I17" s="74">
        <v>28</v>
      </c>
      <c r="J17" s="75">
        <v>29</v>
      </c>
      <c r="K17" s="76">
        <f t="shared" si="0"/>
        <v>1.023076923076923</v>
      </c>
      <c r="L17" s="77">
        <f t="shared" si="1"/>
        <v>1.0178571428571428</v>
      </c>
      <c r="M17" s="78">
        <f t="shared" si="2"/>
        <v>1.0155172413793103</v>
      </c>
      <c r="N17" s="62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18.75" x14ac:dyDescent="0.3">
      <c r="A18" s="62"/>
      <c r="B18" s="79"/>
      <c r="C18" s="93"/>
      <c r="D18" s="81"/>
      <c r="E18" s="82"/>
      <c r="F18" s="62"/>
      <c r="G18" s="72">
        <v>1</v>
      </c>
      <c r="H18" s="73">
        <v>28</v>
      </c>
      <c r="I18" s="74">
        <v>30</v>
      </c>
      <c r="J18" s="75">
        <v>31</v>
      </c>
      <c r="K18" s="76">
        <f t="shared" si="0"/>
        <v>1</v>
      </c>
      <c r="L18" s="77">
        <f t="shared" si="1"/>
        <v>1</v>
      </c>
      <c r="M18" s="78">
        <f t="shared" si="2"/>
        <v>1</v>
      </c>
      <c r="N18" s="62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36" customHeight="1" x14ac:dyDescent="0.25">
      <c r="A19" s="62"/>
      <c r="B19" s="96" t="s">
        <v>18</v>
      </c>
      <c r="C19" s="97">
        <f>C11*(E14/E17)</f>
        <v>0.9472222222222223</v>
      </c>
      <c r="D19" s="114" t="str">
        <f>IF(C19&lt;100%,"UBAH Tanggal Rencana GUP (SP2D) LEBIH CEPAT ATAU Nilai Rencana GUP DITAMBAHKAN","OKE")</f>
        <v>UBAH Tanggal Rencana GUP (SP2D) LEBIH CEPAT ATAU Nilai Rencana GUP DITAMBAHKAN</v>
      </c>
      <c r="E19" s="115"/>
      <c r="F19" s="62"/>
      <c r="G19" s="98"/>
      <c r="H19" s="98"/>
      <c r="I19" s="98"/>
      <c r="J19" s="98"/>
      <c r="K19" s="99"/>
      <c r="L19" s="99"/>
      <c r="M19" s="99"/>
      <c r="N19" s="62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21.75" customHeight="1" thickBot="1" x14ac:dyDescent="0.35">
      <c r="A20" s="62"/>
      <c r="B20" s="100"/>
      <c r="C20" s="101" t="str">
        <f>IF(C19&gt;=100%,"MAKSIMAL NILAI ADALAH 100%","-")</f>
        <v>-</v>
      </c>
      <c r="D20" s="102"/>
      <c r="E20" s="103"/>
      <c r="F20" s="62"/>
      <c r="G20" s="98"/>
      <c r="H20" s="98"/>
      <c r="I20" s="98"/>
      <c r="J20" s="98"/>
      <c r="K20" s="98"/>
      <c r="L20" s="98"/>
      <c r="M20" s="98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x14ac:dyDescent="0.25">
      <c r="A21" s="62"/>
      <c r="B21" s="62"/>
      <c r="C21" s="98"/>
      <c r="D21" s="62"/>
      <c r="E21" s="62"/>
      <c r="F21" s="62"/>
      <c r="G21" s="98"/>
      <c r="H21" s="98"/>
      <c r="I21" s="98"/>
      <c r="J21" s="98"/>
      <c r="K21" s="98"/>
      <c r="L21" s="98"/>
      <c r="M21" s="98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x14ac:dyDescent="0.25">
      <c r="A22" s="62"/>
      <c r="B22" s="104" t="s">
        <v>19</v>
      </c>
      <c r="C22" s="105"/>
      <c r="D22" s="106"/>
      <c r="E22" s="106"/>
      <c r="F22" s="107"/>
      <c r="G22" s="108"/>
      <c r="H22" s="98"/>
      <c r="I22" s="98"/>
      <c r="J22" s="98"/>
      <c r="K22" s="98"/>
      <c r="L22" s="98"/>
      <c r="M22" s="98"/>
      <c r="N22" s="62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15.75" customHeight="1" x14ac:dyDescent="0.25">
      <c r="A23" s="62"/>
      <c r="B23" s="106" t="s">
        <v>20</v>
      </c>
      <c r="C23" s="105"/>
      <c r="D23" s="106"/>
      <c r="E23" s="106"/>
      <c r="F23" s="107"/>
      <c r="G23" s="108"/>
      <c r="H23" s="98"/>
      <c r="I23" s="98"/>
      <c r="J23" s="98"/>
      <c r="K23" s="98"/>
      <c r="L23" s="98"/>
      <c r="M23" s="98"/>
      <c r="N23" s="62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15.75" customHeight="1" x14ac:dyDescent="0.25">
      <c r="A24" s="62"/>
      <c r="B24" s="106" t="s">
        <v>21</v>
      </c>
      <c r="C24" s="105"/>
      <c r="D24" s="106"/>
      <c r="E24" s="106"/>
      <c r="F24" s="107"/>
      <c r="G24" s="108"/>
      <c r="H24" s="98"/>
      <c r="I24" s="98"/>
      <c r="J24" s="98"/>
      <c r="K24" s="98"/>
      <c r="L24" s="98"/>
      <c r="M24" s="98"/>
      <c r="N24" s="62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15.75" customHeight="1" x14ac:dyDescent="0.25">
      <c r="A25" s="62"/>
      <c r="B25" s="106" t="s">
        <v>22</v>
      </c>
      <c r="C25" s="105"/>
      <c r="D25" s="106"/>
      <c r="E25" s="106"/>
      <c r="F25" s="107"/>
      <c r="G25" s="108"/>
      <c r="H25" s="98"/>
      <c r="I25" s="98"/>
      <c r="J25" s="98"/>
      <c r="K25" s="98"/>
      <c r="L25" s="98"/>
      <c r="M25" s="98"/>
      <c r="N25" s="62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24.75" customHeight="1" x14ac:dyDescent="0.25">
      <c r="A26" s="109"/>
      <c r="B26" s="116" t="s">
        <v>23</v>
      </c>
      <c r="C26" s="117"/>
      <c r="D26" s="117"/>
      <c r="E26" s="117"/>
      <c r="F26" s="110"/>
      <c r="G26" s="110"/>
      <c r="H26" s="111"/>
      <c r="I26" s="111"/>
      <c r="J26" s="111"/>
      <c r="K26" s="111"/>
      <c r="L26" s="111"/>
      <c r="M26" s="111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15.75" hidden="1" customHeight="1" x14ac:dyDescent="0.25">
      <c r="A27" s="63"/>
      <c r="B27" s="63"/>
      <c r="C27" s="112"/>
      <c r="D27" s="63"/>
      <c r="E27" s="63"/>
      <c r="F27" s="63"/>
      <c r="G27" s="112"/>
      <c r="H27" s="112"/>
      <c r="I27" s="112"/>
      <c r="J27" s="112"/>
      <c r="K27" s="112"/>
      <c r="L27" s="112"/>
      <c r="M27" s="112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15.75" hidden="1" customHeight="1" x14ac:dyDescent="0.25">
      <c r="A28" s="63"/>
      <c r="B28" s="63"/>
      <c r="C28" s="112"/>
      <c r="D28" s="63"/>
      <c r="E28" s="63"/>
      <c r="F28" s="63"/>
      <c r="G28" s="112"/>
      <c r="H28" s="112"/>
      <c r="I28" s="112"/>
      <c r="J28" s="112"/>
      <c r="K28" s="112"/>
      <c r="L28" s="112"/>
      <c r="M28" s="112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15.75" hidden="1" customHeight="1" x14ac:dyDescent="0.25">
      <c r="A29" s="63"/>
      <c r="B29" s="63"/>
      <c r="C29" s="112"/>
      <c r="D29" s="63"/>
      <c r="E29" s="63"/>
      <c r="F29" s="63"/>
      <c r="G29" s="112"/>
      <c r="H29" s="112"/>
      <c r="I29" s="112"/>
      <c r="J29" s="112"/>
      <c r="K29" s="112"/>
      <c r="L29" s="112"/>
      <c r="M29" s="112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15.75" hidden="1" customHeight="1" x14ac:dyDescent="0.25">
      <c r="A30" s="63"/>
      <c r="B30" s="63"/>
      <c r="C30" s="112"/>
      <c r="D30" s="63"/>
      <c r="E30" s="63"/>
      <c r="F30" s="63"/>
      <c r="G30" s="112"/>
      <c r="H30" s="112"/>
      <c r="I30" s="112"/>
      <c r="J30" s="112"/>
      <c r="K30" s="112"/>
      <c r="L30" s="112"/>
      <c r="M30" s="112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15.75" hidden="1" customHeight="1" x14ac:dyDescent="0.25">
      <c r="A31" s="63"/>
      <c r="B31" s="63"/>
      <c r="C31" s="112"/>
      <c r="D31" s="63"/>
      <c r="E31" s="63"/>
      <c r="F31" s="63"/>
      <c r="G31" s="112"/>
      <c r="H31" s="112"/>
      <c r="I31" s="112"/>
      <c r="J31" s="112"/>
      <c r="K31" s="112"/>
      <c r="L31" s="112"/>
      <c r="M31" s="112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15.75" hidden="1" customHeight="1" x14ac:dyDescent="0.25">
      <c r="A32" s="63"/>
      <c r="B32" s="63"/>
      <c r="C32" s="112"/>
      <c r="D32" s="63"/>
      <c r="E32" s="63"/>
      <c r="F32" s="63"/>
      <c r="G32" s="112"/>
      <c r="H32" s="112"/>
      <c r="I32" s="112"/>
      <c r="J32" s="112"/>
      <c r="K32" s="112"/>
      <c r="L32" s="112"/>
      <c r="M32" s="112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15.75" hidden="1" customHeight="1" x14ac:dyDescent="0.25">
      <c r="A33" s="63"/>
      <c r="B33" s="63"/>
      <c r="C33" s="112"/>
      <c r="D33" s="63"/>
      <c r="E33" s="63"/>
      <c r="F33" s="63"/>
      <c r="G33" s="112"/>
      <c r="H33" s="112"/>
      <c r="I33" s="112"/>
      <c r="J33" s="112"/>
      <c r="K33" s="112"/>
      <c r="L33" s="112"/>
      <c r="M33" s="112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15.75" hidden="1" customHeight="1" x14ac:dyDescent="0.25">
      <c r="A34" s="63"/>
      <c r="B34" s="63"/>
      <c r="C34" s="112"/>
      <c r="D34" s="63"/>
      <c r="E34" s="63"/>
      <c r="F34" s="63"/>
      <c r="G34" s="112"/>
      <c r="H34" s="112"/>
      <c r="I34" s="112"/>
      <c r="J34" s="112"/>
      <c r="K34" s="112"/>
      <c r="L34" s="112"/>
      <c r="M34" s="112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15.75" hidden="1" customHeight="1" x14ac:dyDescent="0.25">
      <c r="A35" s="63"/>
      <c r="B35" s="63"/>
      <c r="C35" s="112"/>
      <c r="D35" s="63"/>
      <c r="E35" s="63"/>
      <c r="F35" s="63"/>
      <c r="G35" s="112"/>
      <c r="H35" s="112"/>
      <c r="I35" s="112"/>
      <c r="J35" s="112"/>
      <c r="K35" s="112"/>
      <c r="L35" s="112"/>
      <c r="M35" s="112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15.75" hidden="1" customHeight="1" x14ac:dyDescent="0.25">
      <c r="A36" s="63"/>
      <c r="B36" s="63"/>
      <c r="C36" s="112"/>
      <c r="D36" s="63"/>
      <c r="E36" s="63"/>
      <c r="F36" s="63"/>
      <c r="G36" s="112"/>
      <c r="H36" s="112"/>
      <c r="I36" s="112"/>
      <c r="J36" s="112"/>
      <c r="K36" s="112"/>
      <c r="L36" s="112"/>
      <c r="M36" s="112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15.75" hidden="1" customHeight="1" x14ac:dyDescent="0.25">
      <c r="A37" s="63"/>
      <c r="B37" s="63"/>
      <c r="C37" s="112"/>
      <c r="D37" s="63"/>
      <c r="E37" s="63"/>
      <c r="F37" s="63"/>
      <c r="G37" s="112"/>
      <c r="H37" s="112"/>
      <c r="I37" s="112"/>
      <c r="J37" s="112"/>
      <c r="K37" s="112"/>
      <c r="L37" s="112"/>
      <c r="M37" s="112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15.75" hidden="1" customHeight="1" x14ac:dyDescent="0.25">
      <c r="A38" s="63"/>
      <c r="B38" s="63"/>
      <c r="C38" s="112"/>
      <c r="D38" s="63"/>
      <c r="E38" s="63"/>
      <c r="F38" s="63"/>
      <c r="G38" s="112"/>
      <c r="H38" s="112"/>
      <c r="I38" s="112"/>
      <c r="J38" s="112"/>
      <c r="K38" s="112"/>
      <c r="L38" s="112"/>
      <c r="M38" s="112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15.75" hidden="1" customHeight="1" x14ac:dyDescent="0.25">
      <c r="A39" s="63"/>
      <c r="B39" s="63"/>
      <c r="C39" s="112"/>
      <c r="D39" s="63"/>
      <c r="E39" s="63"/>
      <c r="F39" s="63"/>
      <c r="G39" s="112"/>
      <c r="H39" s="112"/>
      <c r="I39" s="112"/>
      <c r="J39" s="112"/>
      <c r="K39" s="112"/>
      <c r="L39" s="112"/>
      <c r="M39" s="112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15.75" hidden="1" customHeight="1" x14ac:dyDescent="0.25">
      <c r="A40" s="63"/>
      <c r="B40" s="63"/>
      <c r="C40" s="112"/>
      <c r="D40" s="63"/>
      <c r="E40" s="63"/>
      <c r="F40" s="63"/>
      <c r="G40" s="112"/>
      <c r="H40" s="112"/>
      <c r="I40" s="112"/>
      <c r="J40" s="112"/>
      <c r="K40" s="112"/>
      <c r="L40" s="112"/>
      <c r="M40" s="112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15.75" hidden="1" customHeight="1" x14ac:dyDescent="0.25">
      <c r="A41" s="63"/>
      <c r="B41" s="63"/>
      <c r="C41" s="112"/>
      <c r="D41" s="63"/>
      <c r="E41" s="63"/>
      <c r="F41" s="63"/>
      <c r="G41" s="112"/>
      <c r="H41" s="112"/>
      <c r="I41" s="112"/>
      <c r="J41" s="112"/>
      <c r="K41" s="112"/>
      <c r="L41" s="112"/>
      <c r="M41" s="112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15.75" hidden="1" customHeight="1" x14ac:dyDescent="0.25">
      <c r="A42" s="63"/>
      <c r="B42" s="63"/>
      <c r="C42" s="112"/>
      <c r="D42" s="63"/>
      <c r="E42" s="63"/>
      <c r="F42" s="63"/>
      <c r="G42" s="112"/>
      <c r="H42" s="112"/>
      <c r="I42" s="112"/>
      <c r="J42" s="112"/>
      <c r="K42" s="112"/>
      <c r="L42" s="112"/>
      <c r="M42" s="112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15.75" hidden="1" customHeight="1" x14ac:dyDescent="0.25">
      <c r="A43" s="63"/>
      <c r="B43" s="63"/>
      <c r="C43" s="112"/>
      <c r="D43" s="63"/>
      <c r="E43" s="63"/>
      <c r="F43" s="63"/>
      <c r="G43" s="112"/>
      <c r="H43" s="112"/>
      <c r="I43" s="112"/>
      <c r="J43" s="112"/>
      <c r="K43" s="112"/>
      <c r="L43" s="112"/>
      <c r="M43" s="112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15.75" hidden="1" customHeight="1" x14ac:dyDescent="0.25">
      <c r="A44" s="63"/>
      <c r="B44" s="63"/>
      <c r="C44" s="112"/>
      <c r="D44" s="63"/>
      <c r="E44" s="63"/>
      <c r="F44" s="63"/>
      <c r="G44" s="112"/>
      <c r="H44" s="112"/>
      <c r="I44" s="112"/>
      <c r="J44" s="112"/>
      <c r="K44" s="112"/>
      <c r="L44" s="112"/>
      <c r="M44" s="112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15.75" hidden="1" customHeight="1" x14ac:dyDescent="0.25">
      <c r="A45" s="63"/>
      <c r="B45" s="63"/>
      <c r="C45" s="112"/>
      <c r="D45" s="63"/>
      <c r="E45" s="63"/>
      <c r="F45" s="63"/>
      <c r="G45" s="112"/>
      <c r="H45" s="112"/>
      <c r="I45" s="112"/>
      <c r="J45" s="112"/>
      <c r="K45" s="112"/>
      <c r="L45" s="112"/>
      <c r="M45" s="112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15.75" hidden="1" customHeight="1" x14ac:dyDescent="0.25">
      <c r="A46" s="63"/>
      <c r="B46" s="63"/>
      <c r="C46" s="112"/>
      <c r="D46" s="63"/>
      <c r="E46" s="63"/>
      <c r="F46" s="63"/>
      <c r="G46" s="112"/>
      <c r="H46" s="112"/>
      <c r="I46" s="112"/>
      <c r="J46" s="112"/>
      <c r="K46" s="112"/>
      <c r="L46" s="112"/>
      <c r="M46" s="112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15.75" hidden="1" customHeight="1" x14ac:dyDescent="0.25">
      <c r="A47" s="63"/>
      <c r="B47" s="63"/>
      <c r="C47" s="112"/>
      <c r="D47" s="63"/>
      <c r="E47" s="63"/>
      <c r="F47" s="63"/>
      <c r="G47" s="112"/>
      <c r="H47" s="112"/>
      <c r="I47" s="112"/>
      <c r="J47" s="112"/>
      <c r="K47" s="112"/>
      <c r="L47" s="112"/>
      <c r="M47" s="112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15.75" hidden="1" customHeight="1" x14ac:dyDescent="0.25">
      <c r="A48" s="63"/>
      <c r="B48" s="63"/>
      <c r="C48" s="112"/>
      <c r="D48" s="63"/>
      <c r="E48" s="63"/>
      <c r="F48" s="63"/>
      <c r="G48" s="112"/>
      <c r="H48" s="112"/>
      <c r="I48" s="112"/>
      <c r="J48" s="112"/>
      <c r="K48" s="112"/>
      <c r="L48" s="112"/>
      <c r="M48" s="112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15.75" hidden="1" customHeight="1" x14ac:dyDescent="0.25">
      <c r="A49" s="63"/>
      <c r="B49" s="63"/>
      <c r="C49" s="112"/>
      <c r="D49" s="63"/>
      <c r="E49" s="63"/>
      <c r="F49" s="63"/>
      <c r="G49" s="112"/>
      <c r="H49" s="112"/>
      <c r="I49" s="112"/>
      <c r="J49" s="112"/>
      <c r="K49" s="112"/>
      <c r="L49" s="112"/>
      <c r="M49" s="112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15.75" hidden="1" customHeight="1" x14ac:dyDescent="0.25">
      <c r="A50" s="63"/>
      <c r="B50" s="63"/>
      <c r="C50" s="112"/>
      <c r="D50" s="63"/>
      <c r="E50" s="63"/>
      <c r="F50" s="63"/>
      <c r="G50" s="112"/>
      <c r="H50" s="112"/>
      <c r="I50" s="112"/>
      <c r="J50" s="112"/>
      <c r="K50" s="112"/>
      <c r="L50" s="112"/>
      <c r="M50" s="112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15.75" hidden="1" customHeight="1" x14ac:dyDescent="0.25">
      <c r="A51" s="63"/>
      <c r="B51" s="63"/>
      <c r="C51" s="112"/>
      <c r="D51" s="63"/>
      <c r="E51" s="63"/>
      <c r="F51" s="63"/>
      <c r="G51" s="112"/>
      <c r="H51" s="112"/>
      <c r="I51" s="112"/>
      <c r="J51" s="112"/>
      <c r="K51" s="112"/>
      <c r="L51" s="112"/>
      <c r="M51" s="112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15.75" hidden="1" customHeight="1" x14ac:dyDescent="0.25">
      <c r="A52" s="63"/>
      <c r="B52" s="63"/>
      <c r="C52" s="112"/>
      <c r="D52" s="63"/>
      <c r="E52" s="63"/>
      <c r="F52" s="63"/>
      <c r="G52" s="112"/>
      <c r="H52" s="112"/>
      <c r="I52" s="112"/>
      <c r="J52" s="112"/>
      <c r="K52" s="112"/>
      <c r="L52" s="112"/>
      <c r="M52" s="112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15.75" hidden="1" customHeight="1" x14ac:dyDescent="0.25">
      <c r="A53" s="63"/>
      <c r="B53" s="63"/>
      <c r="C53" s="112"/>
      <c r="D53" s="63"/>
      <c r="E53" s="63"/>
      <c r="F53" s="63"/>
      <c r="G53" s="112"/>
      <c r="H53" s="112"/>
      <c r="I53" s="112"/>
      <c r="J53" s="112"/>
      <c r="K53" s="112"/>
      <c r="L53" s="112"/>
      <c r="M53" s="112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15.75" hidden="1" customHeight="1" x14ac:dyDescent="0.25">
      <c r="A54" s="63"/>
      <c r="B54" s="63"/>
      <c r="C54" s="112"/>
      <c r="D54" s="63"/>
      <c r="E54" s="63"/>
      <c r="F54" s="63"/>
      <c r="G54" s="112"/>
      <c r="H54" s="112"/>
      <c r="I54" s="112"/>
      <c r="J54" s="112"/>
      <c r="K54" s="112"/>
      <c r="L54" s="112"/>
      <c r="M54" s="112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15.75" hidden="1" customHeight="1" x14ac:dyDescent="0.25">
      <c r="A55" s="63"/>
      <c r="B55" s="63"/>
      <c r="C55" s="112"/>
      <c r="D55" s="63"/>
      <c r="E55" s="63"/>
      <c r="F55" s="63"/>
      <c r="G55" s="112"/>
      <c r="H55" s="112"/>
      <c r="I55" s="112"/>
      <c r="J55" s="112"/>
      <c r="K55" s="112"/>
      <c r="L55" s="112"/>
      <c r="M55" s="112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15.75" hidden="1" customHeight="1" x14ac:dyDescent="0.25">
      <c r="A56" s="63"/>
      <c r="B56" s="63"/>
      <c r="C56" s="112"/>
      <c r="D56" s="63"/>
      <c r="E56" s="63"/>
      <c r="F56" s="63"/>
      <c r="G56" s="112"/>
      <c r="H56" s="112"/>
      <c r="I56" s="112"/>
      <c r="J56" s="112"/>
      <c r="K56" s="112"/>
      <c r="L56" s="112"/>
      <c r="M56" s="112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15.75" hidden="1" customHeight="1" x14ac:dyDescent="0.25">
      <c r="A57" s="63"/>
      <c r="B57" s="63"/>
      <c r="C57" s="112"/>
      <c r="D57" s="63"/>
      <c r="E57" s="63"/>
      <c r="F57" s="63"/>
      <c r="G57" s="112"/>
      <c r="H57" s="112"/>
      <c r="I57" s="112"/>
      <c r="J57" s="112"/>
      <c r="K57" s="112"/>
      <c r="L57" s="112"/>
      <c r="M57" s="112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15.75" hidden="1" customHeight="1" x14ac:dyDescent="0.25">
      <c r="A58" s="63"/>
      <c r="B58" s="63"/>
      <c r="C58" s="112"/>
      <c r="D58" s="63"/>
      <c r="E58" s="63"/>
      <c r="F58" s="63"/>
      <c r="G58" s="112"/>
      <c r="H58" s="112"/>
      <c r="I58" s="112"/>
      <c r="J58" s="112"/>
      <c r="K58" s="112"/>
      <c r="L58" s="112"/>
      <c r="M58" s="112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pans="1:26" ht="15.75" hidden="1" customHeight="1" x14ac:dyDescent="0.25">
      <c r="A59" s="63"/>
      <c r="B59" s="63"/>
      <c r="C59" s="112"/>
      <c r="D59" s="63"/>
      <c r="E59" s="63"/>
      <c r="F59" s="63"/>
      <c r="G59" s="112"/>
      <c r="H59" s="112"/>
      <c r="I59" s="112"/>
      <c r="J59" s="112"/>
      <c r="K59" s="112"/>
      <c r="L59" s="112"/>
      <c r="M59" s="112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pans="1:26" ht="15.75" hidden="1" customHeight="1" x14ac:dyDescent="0.25">
      <c r="A60" s="63"/>
      <c r="B60" s="63"/>
      <c r="C60" s="112"/>
      <c r="D60" s="63"/>
      <c r="E60" s="63"/>
      <c r="F60" s="63"/>
      <c r="G60" s="112"/>
      <c r="H60" s="112"/>
      <c r="I60" s="112"/>
      <c r="J60" s="112"/>
      <c r="K60" s="112"/>
      <c r="L60" s="112"/>
      <c r="M60" s="112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5.75" hidden="1" customHeight="1" x14ac:dyDescent="0.25">
      <c r="A61" s="63"/>
      <c r="B61" s="63"/>
      <c r="C61" s="112"/>
      <c r="D61" s="63"/>
      <c r="E61" s="63"/>
      <c r="F61" s="63"/>
      <c r="G61" s="112"/>
      <c r="H61" s="112"/>
      <c r="I61" s="112"/>
      <c r="J61" s="112"/>
      <c r="K61" s="112"/>
      <c r="L61" s="112"/>
      <c r="M61" s="112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ht="15.75" hidden="1" customHeight="1" x14ac:dyDescent="0.25">
      <c r="A62" s="63"/>
      <c r="B62" s="63"/>
      <c r="C62" s="112"/>
      <c r="D62" s="63"/>
      <c r="E62" s="63"/>
      <c r="F62" s="63"/>
      <c r="G62" s="112"/>
      <c r="H62" s="112"/>
      <c r="I62" s="112"/>
      <c r="J62" s="112"/>
      <c r="K62" s="112"/>
      <c r="L62" s="112"/>
      <c r="M62" s="112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pans="1:26" ht="15.75" hidden="1" customHeight="1" x14ac:dyDescent="0.25">
      <c r="A63" s="63"/>
      <c r="B63" s="63"/>
      <c r="C63" s="112"/>
      <c r="D63" s="63"/>
      <c r="E63" s="63"/>
      <c r="F63" s="63"/>
      <c r="G63" s="112"/>
      <c r="H63" s="112"/>
      <c r="I63" s="112"/>
      <c r="J63" s="112"/>
      <c r="K63" s="112"/>
      <c r="L63" s="112"/>
      <c r="M63" s="112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pans="1:26" ht="15.75" hidden="1" customHeight="1" x14ac:dyDescent="0.25">
      <c r="A64" s="63"/>
      <c r="B64" s="63"/>
      <c r="C64" s="112"/>
      <c r="D64" s="63"/>
      <c r="E64" s="63"/>
      <c r="F64" s="63"/>
      <c r="G64" s="112"/>
      <c r="H64" s="112"/>
      <c r="I64" s="112"/>
      <c r="J64" s="112"/>
      <c r="K64" s="112"/>
      <c r="L64" s="112"/>
      <c r="M64" s="112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pans="1:26" ht="15.75" hidden="1" customHeight="1" x14ac:dyDescent="0.25">
      <c r="A65" s="63"/>
      <c r="B65" s="63"/>
      <c r="C65" s="112"/>
      <c r="D65" s="63"/>
      <c r="E65" s="63"/>
      <c r="F65" s="63"/>
      <c r="G65" s="112"/>
      <c r="H65" s="112"/>
      <c r="I65" s="112"/>
      <c r="J65" s="112"/>
      <c r="K65" s="112"/>
      <c r="L65" s="112"/>
      <c r="M65" s="112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pans="1:26" ht="15.75" hidden="1" customHeight="1" x14ac:dyDescent="0.25">
      <c r="A66" s="63"/>
      <c r="B66" s="63"/>
      <c r="C66" s="112"/>
      <c r="D66" s="63"/>
      <c r="E66" s="63"/>
      <c r="F66" s="63"/>
      <c r="G66" s="112"/>
      <c r="H66" s="112"/>
      <c r="I66" s="112"/>
      <c r="J66" s="112"/>
      <c r="K66" s="112"/>
      <c r="L66" s="112"/>
      <c r="M66" s="112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pans="1:26" ht="15.75" hidden="1" customHeight="1" x14ac:dyDescent="0.25">
      <c r="A67" s="63"/>
      <c r="B67" s="63"/>
      <c r="C67" s="112"/>
      <c r="D67" s="63"/>
      <c r="E67" s="63"/>
      <c r="F67" s="63"/>
      <c r="G67" s="112"/>
      <c r="H67" s="112"/>
      <c r="I67" s="112"/>
      <c r="J67" s="112"/>
      <c r="K67" s="112"/>
      <c r="L67" s="112"/>
      <c r="M67" s="112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6" ht="15.75" hidden="1" customHeight="1" x14ac:dyDescent="0.25">
      <c r="A68" s="63"/>
      <c r="B68" s="63"/>
      <c r="C68" s="112"/>
      <c r="D68" s="63"/>
      <c r="E68" s="63"/>
      <c r="F68" s="63"/>
      <c r="G68" s="112"/>
      <c r="H68" s="112"/>
      <c r="I68" s="112"/>
      <c r="J68" s="112"/>
      <c r="K68" s="112"/>
      <c r="L68" s="112"/>
      <c r="M68" s="112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pans="1:26" ht="15.75" hidden="1" customHeight="1" x14ac:dyDescent="0.25">
      <c r="A69" s="63"/>
      <c r="B69" s="63"/>
      <c r="C69" s="112"/>
      <c r="D69" s="63"/>
      <c r="E69" s="63"/>
      <c r="F69" s="63"/>
      <c r="G69" s="112"/>
      <c r="H69" s="112"/>
      <c r="I69" s="112"/>
      <c r="J69" s="112"/>
      <c r="K69" s="112"/>
      <c r="L69" s="112"/>
      <c r="M69" s="112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pans="1:26" ht="15.75" hidden="1" customHeight="1" x14ac:dyDescent="0.25">
      <c r="A70" s="63"/>
      <c r="B70" s="63"/>
      <c r="C70" s="112"/>
      <c r="D70" s="63"/>
      <c r="E70" s="63"/>
      <c r="F70" s="63"/>
      <c r="G70" s="112"/>
      <c r="H70" s="112"/>
      <c r="I70" s="112"/>
      <c r="J70" s="112"/>
      <c r="K70" s="112"/>
      <c r="L70" s="112"/>
      <c r="M70" s="112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pans="1:26" ht="15.75" hidden="1" customHeight="1" x14ac:dyDescent="0.25">
      <c r="A71" s="63"/>
      <c r="B71" s="63"/>
      <c r="C71" s="112"/>
      <c r="D71" s="63"/>
      <c r="E71" s="63"/>
      <c r="F71" s="63"/>
      <c r="G71" s="112"/>
      <c r="H71" s="112"/>
      <c r="I71" s="112"/>
      <c r="J71" s="112"/>
      <c r="K71" s="112"/>
      <c r="L71" s="112"/>
      <c r="M71" s="112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spans="1:26" ht="15.75" hidden="1" customHeight="1" x14ac:dyDescent="0.25">
      <c r="A72" s="63"/>
      <c r="B72" s="63"/>
      <c r="C72" s="112"/>
      <c r="D72" s="63"/>
      <c r="E72" s="63"/>
      <c r="F72" s="63"/>
      <c r="G72" s="112"/>
      <c r="H72" s="112"/>
      <c r="I72" s="112"/>
      <c r="J72" s="112"/>
      <c r="K72" s="112"/>
      <c r="L72" s="112"/>
      <c r="M72" s="112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spans="1:26" ht="15.75" hidden="1" customHeight="1" x14ac:dyDescent="0.25">
      <c r="A73" s="63"/>
      <c r="B73" s="63"/>
      <c r="C73" s="112"/>
      <c r="D73" s="63"/>
      <c r="E73" s="63"/>
      <c r="F73" s="63"/>
      <c r="G73" s="112"/>
      <c r="H73" s="112"/>
      <c r="I73" s="112"/>
      <c r="J73" s="112"/>
      <c r="K73" s="112"/>
      <c r="L73" s="112"/>
      <c r="M73" s="112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spans="1:26" ht="15.75" hidden="1" customHeight="1" x14ac:dyDescent="0.25">
      <c r="A74" s="63"/>
      <c r="B74" s="63"/>
      <c r="C74" s="112"/>
      <c r="D74" s="63"/>
      <c r="E74" s="63"/>
      <c r="F74" s="63"/>
      <c r="G74" s="112"/>
      <c r="H74" s="112"/>
      <c r="I74" s="112"/>
      <c r="J74" s="112"/>
      <c r="K74" s="112"/>
      <c r="L74" s="112"/>
      <c r="M74" s="112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pans="1:26" ht="15.75" hidden="1" customHeight="1" x14ac:dyDescent="0.25">
      <c r="A75" s="63"/>
      <c r="B75" s="63"/>
      <c r="C75" s="112"/>
      <c r="D75" s="63"/>
      <c r="E75" s="63"/>
      <c r="F75" s="63"/>
      <c r="G75" s="112"/>
      <c r="H75" s="112"/>
      <c r="I75" s="112"/>
      <c r="J75" s="112"/>
      <c r="K75" s="112"/>
      <c r="L75" s="112"/>
      <c r="M75" s="112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spans="1:26" ht="15.75" hidden="1" customHeight="1" x14ac:dyDescent="0.25">
      <c r="A76" s="63"/>
      <c r="B76" s="63"/>
      <c r="C76" s="112"/>
      <c r="D76" s="63"/>
      <c r="E76" s="63"/>
      <c r="F76" s="63"/>
      <c r="G76" s="112"/>
      <c r="H76" s="112"/>
      <c r="I76" s="112"/>
      <c r="J76" s="112"/>
      <c r="K76" s="112"/>
      <c r="L76" s="112"/>
      <c r="M76" s="112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spans="1:26" ht="15.75" hidden="1" customHeight="1" x14ac:dyDescent="0.25">
      <c r="A77" s="63"/>
      <c r="B77" s="63"/>
      <c r="C77" s="112"/>
      <c r="D77" s="63"/>
      <c r="E77" s="63"/>
      <c r="F77" s="63"/>
      <c r="G77" s="112"/>
      <c r="H77" s="112"/>
      <c r="I77" s="112"/>
      <c r="J77" s="112"/>
      <c r="K77" s="112"/>
      <c r="L77" s="112"/>
      <c r="M77" s="112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pans="1:26" ht="15.75" hidden="1" customHeight="1" x14ac:dyDescent="0.25">
      <c r="A78" s="63"/>
      <c r="B78" s="63"/>
      <c r="C78" s="112"/>
      <c r="D78" s="63"/>
      <c r="E78" s="63"/>
      <c r="F78" s="63"/>
      <c r="G78" s="112"/>
      <c r="H78" s="112"/>
      <c r="I78" s="112"/>
      <c r="J78" s="112"/>
      <c r="K78" s="112"/>
      <c r="L78" s="112"/>
      <c r="M78" s="112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spans="1:26" ht="15.75" hidden="1" customHeight="1" x14ac:dyDescent="0.25">
      <c r="A79" s="63"/>
      <c r="B79" s="63"/>
      <c r="C79" s="112"/>
      <c r="D79" s="63"/>
      <c r="E79" s="63"/>
      <c r="F79" s="63"/>
      <c r="G79" s="112"/>
      <c r="H79" s="112"/>
      <c r="I79" s="112"/>
      <c r="J79" s="112"/>
      <c r="K79" s="112"/>
      <c r="L79" s="112"/>
      <c r="M79" s="112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spans="1:26" ht="15.75" hidden="1" customHeight="1" x14ac:dyDescent="0.25">
      <c r="A80" s="63"/>
      <c r="B80" s="63"/>
      <c r="C80" s="112"/>
      <c r="D80" s="63"/>
      <c r="E80" s="63"/>
      <c r="F80" s="63"/>
      <c r="G80" s="112"/>
      <c r="H80" s="112"/>
      <c r="I80" s="112"/>
      <c r="J80" s="112"/>
      <c r="K80" s="112"/>
      <c r="L80" s="112"/>
      <c r="M80" s="112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pans="1:26" ht="15.75" hidden="1" customHeight="1" x14ac:dyDescent="0.25">
      <c r="A81" s="63"/>
      <c r="B81" s="63"/>
      <c r="C81" s="112"/>
      <c r="D81" s="63"/>
      <c r="E81" s="63"/>
      <c r="F81" s="63"/>
      <c r="G81" s="112"/>
      <c r="H81" s="112"/>
      <c r="I81" s="112"/>
      <c r="J81" s="112"/>
      <c r="K81" s="112"/>
      <c r="L81" s="112"/>
      <c r="M81" s="112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pans="1:26" ht="15.75" hidden="1" customHeight="1" x14ac:dyDescent="0.25">
      <c r="A82" s="63"/>
      <c r="B82" s="63"/>
      <c r="C82" s="112"/>
      <c r="D82" s="63"/>
      <c r="E82" s="63"/>
      <c r="F82" s="63"/>
      <c r="G82" s="112"/>
      <c r="H82" s="112"/>
      <c r="I82" s="112"/>
      <c r="J82" s="112"/>
      <c r="K82" s="112"/>
      <c r="L82" s="112"/>
      <c r="M82" s="112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5.75" hidden="1" customHeight="1" x14ac:dyDescent="0.25">
      <c r="A83" s="63"/>
      <c r="B83" s="63"/>
      <c r="C83" s="112"/>
      <c r="D83" s="63"/>
      <c r="E83" s="63"/>
      <c r="F83" s="63"/>
      <c r="G83" s="112"/>
      <c r="H83" s="112"/>
      <c r="I83" s="112"/>
      <c r="J83" s="112"/>
      <c r="K83" s="112"/>
      <c r="L83" s="112"/>
      <c r="M83" s="112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6" ht="15.75" hidden="1" customHeight="1" x14ac:dyDescent="0.25">
      <c r="A84" s="63"/>
      <c r="B84" s="63"/>
      <c r="C84" s="112"/>
      <c r="D84" s="63"/>
      <c r="E84" s="63"/>
      <c r="F84" s="63"/>
      <c r="G84" s="112"/>
      <c r="H84" s="112"/>
      <c r="I84" s="112"/>
      <c r="J84" s="112"/>
      <c r="K84" s="112"/>
      <c r="L84" s="112"/>
      <c r="M84" s="112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6" ht="15.75" hidden="1" customHeight="1" x14ac:dyDescent="0.25">
      <c r="A85" s="63"/>
      <c r="B85" s="63"/>
      <c r="C85" s="112"/>
      <c r="D85" s="63"/>
      <c r="E85" s="63"/>
      <c r="F85" s="63"/>
      <c r="G85" s="112"/>
      <c r="H85" s="112"/>
      <c r="I85" s="112"/>
      <c r="J85" s="112"/>
      <c r="K85" s="112"/>
      <c r="L85" s="112"/>
      <c r="M85" s="112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5.75" hidden="1" customHeight="1" x14ac:dyDescent="0.25">
      <c r="A86" s="63"/>
      <c r="B86" s="63"/>
      <c r="C86" s="112"/>
      <c r="D86" s="63"/>
      <c r="E86" s="63"/>
      <c r="F86" s="63"/>
      <c r="G86" s="112"/>
      <c r="H86" s="112"/>
      <c r="I86" s="112"/>
      <c r="J86" s="112"/>
      <c r="K86" s="112"/>
      <c r="L86" s="112"/>
      <c r="M86" s="112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5.75" hidden="1" customHeight="1" x14ac:dyDescent="0.25">
      <c r="A87" s="63"/>
      <c r="B87" s="63"/>
      <c r="C87" s="112"/>
      <c r="D87" s="63"/>
      <c r="E87" s="63"/>
      <c r="F87" s="63"/>
      <c r="G87" s="112"/>
      <c r="H87" s="112"/>
      <c r="I87" s="112"/>
      <c r="J87" s="112"/>
      <c r="K87" s="112"/>
      <c r="L87" s="112"/>
      <c r="M87" s="112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5.75" hidden="1" customHeight="1" x14ac:dyDescent="0.25">
      <c r="A88" s="63"/>
      <c r="B88" s="63"/>
      <c r="C88" s="112"/>
      <c r="D88" s="63"/>
      <c r="E88" s="63"/>
      <c r="F88" s="63"/>
      <c r="G88" s="112"/>
      <c r="H88" s="112"/>
      <c r="I88" s="112"/>
      <c r="J88" s="112"/>
      <c r="K88" s="112"/>
      <c r="L88" s="112"/>
      <c r="M88" s="112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5.75" hidden="1" customHeight="1" x14ac:dyDescent="0.25">
      <c r="A89" s="63"/>
      <c r="B89" s="63"/>
      <c r="C89" s="112"/>
      <c r="D89" s="63"/>
      <c r="E89" s="63"/>
      <c r="F89" s="63"/>
      <c r="G89" s="112"/>
      <c r="H89" s="112"/>
      <c r="I89" s="112"/>
      <c r="J89" s="112"/>
      <c r="K89" s="112"/>
      <c r="L89" s="112"/>
      <c r="M89" s="112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5.75" hidden="1" customHeight="1" x14ac:dyDescent="0.25">
      <c r="A90" s="63"/>
      <c r="B90" s="63"/>
      <c r="C90" s="112"/>
      <c r="D90" s="63"/>
      <c r="E90" s="63"/>
      <c r="F90" s="63"/>
      <c r="G90" s="112"/>
      <c r="H90" s="112"/>
      <c r="I90" s="112"/>
      <c r="J90" s="112"/>
      <c r="K90" s="112"/>
      <c r="L90" s="112"/>
      <c r="M90" s="112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5.75" hidden="1" customHeight="1" x14ac:dyDescent="0.25">
      <c r="A91" s="63"/>
      <c r="B91" s="63"/>
      <c r="C91" s="112"/>
      <c r="D91" s="63"/>
      <c r="E91" s="63"/>
      <c r="F91" s="63"/>
      <c r="G91" s="112"/>
      <c r="H91" s="112"/>
      <c r="I91" s="112"/>
      <c r="J91" s="112"/>
      <c r="K91" s="112"/>
      <c r="L91" s="112"/>
      <c r="M91" s="112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5.75" hidden="1" customHeight="1" x14ac:dyDescent="0.25">
      <c r="A92" s="63"/>
      <c r="B92" s="63"/>
      <c r="C92" s="112"/>
      <c r="D92" s="63"/>
      <c r="E92" s="63"/>
      <c r="F92" s="63"/>
      <c r="G92" s="112"/>
      <c r="H92" s="112"/>
      <c r="I92" s="112"/>
      <c r="J92" s="112"/>
      <c r="K92" s="112"/>
      <c r="L92" s="112"/>
      <c r="M92" s="112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5.75" hidden="1" customHeight="1" x14ac:dyDescent="0.25">
      <c r="A93" s="63"/>
      <c r="B93" s="63"/>
      <c r="C93" s="112"/>
      <c r="D93" s="63"/>
      <c r="E93" s="63"/>
      <c r="F93" s="63"/>
      <c r="G93" s="112"/>
      <c r="H93" s="112"/>
      <c r="I93" s="112"/>
      <c r="J93" s="112"/>
      <c r="K93" s="112"/>
      <c r="L93" s="112"/>
      <c r="M93" s="112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5.75" hidden="1" customHeight="1" x14ac:dyDescent="0.25">
      <c r="A94" s="63"/>
      <c r="B94" s="63"/>
      <c r="C94" s="112"/>
      <c r="D94" s="63"/>
      <c r="E94" s="63"/>
      <c r="F94" s="63"/>
      <c r="G94" s="112"/>
      <c r="H94" s="112"/>
      <c r="I94" s="112"/>
      <c r="J94" s="112"/>
      <c r="K94" s="112"/>
      <c r="L94" s="112"/>
      <c r="M94" s="112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5.75" hidden="1" customHeight="1" x14ac:dyDescent="0.25">
      <c r="A95" s="63"/>
      <c r="B95" s="63"/>
      <c r="C95" s="112"/>
      <c r="D95" s="63"/>
      <c r="E95" s="63"/>
      <c r="F95" s="63"/>
      <c r="G95" s="112"/>
      <c r="H95" s="112"/>
      <c r="I95" s="112"/>
      <c r="J95" s="112"/>
      <c r="K95" s="112"/>
      <c r="L95" s="112"/>
      <c r="M95" s="112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5.75" hidden="1" customHeight="1" x14ac:dyDescent="0.25">
      <c r="A96" s="63"/>
      <c r="B96" s="63"/>
      <c r="C96" s="112"/>
      <c r="D96" s="63"/>
      <c r="E96" s="63"/>
      <c r="F96" s="63"/>
      <c r="G96" s="112"/>
      <c r="H96" s="112"/>
      <c r="I96" s="112"/>
      <c r="J96" s="112"/>
      <c r="K96" s="112"/>
      <c r="L96" s="112"/>
      <c r="M96" s="112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15.75" hidden="1" customHeight="1" x14ac:dyDescent="0.25">
      <c r="A97" s="63"/>
      <c r="B97" s="63"/>
      <c r="C97" s="112"/>
      <c r="D97" s="63"/>
      <c r="E97" s="63"/>
      <c r="F97" s="63"/>
      <c r="G97" s="112"/>
      <c r="H97" s="112"/>
      <c r="I97" s="112"/>
      <c r="J97" s="112"/>
      <c r="K97" s="112"/>
      <c r="L97" s="112"/>
      <c r="M97" s="112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5.75" hidden="1" customHeight="1" x14ac:dyDescent="0.25">
      <c r="A98" s="63"/>
      <c r="B98" s="63"/>
      <c r="C98" s="112"/>
      <c r="D98" s="63"/>
      <c r="E98" s="63"/>
      <c r="F98" s="63"/>
      <c r="G98" s="112"/>
      <c r="H98" s="112"/>
      <c r="I98" s="112"/>
      <c r="J98" s="112"/>
      <c r="K98" s="112"/>
      <c r="L98" s="112"/>
      <c r="M98" s="112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5.75" hidden="1" customHeight="1" x14ac:dyDescent="0.25">
      <c r="A99" s="63"/>
      <c r="B99" s="63"/>
      <c r="C99" s="112"/>
      <c r="D99" s="63"/>
      <c r="E99" s="63"/>
      <c r="F99" s="63"/>
      <c r="G99" s="112"/>
      <c r="H99" s="112"/>
      <c r="I99" s="112"/>
      <c r="J99" s="112"/>
      <c r="K99" s="112"/>
      <c r="L99" s="112"/>
      <c r="M99" s="112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5.75" hidden="1" customHeight="1" x14ac:dyDescent="0.25">
      <c r="A100" s="63"/>
      <c r="B100" s="63"/>
      <c r="C100" s="112"/>
      <c r="D100" s="63"/>
      <c r="E100" s="63"/>
      <c r="F100" s="63"/>
      <c r="G100" s="112"/>
      <c r="H100" s="112"/>
      <c r="I100" s="112"/>
      <c r="J100" s="112"/>
      <c r="K100" s="112"/>
      <c r="L100" s="112"/>
      <c r="M100" s="112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5.75" hidden="1" customHeight="1" x14ac:dyDescent="0.25">
      <c r="A101" s="63"/>
      <c r="B101" s="63"/>
      <c r="C101" s="112"/>
      <c r="D101" s="63"/>
      <c r="E101" s="63"/>
      <c r="F101" s="63"/>
      <c r="G101" s="112"/>
      <c r="H101" s="112"/>
      <c r="I101" s="112"/>
      <c r="J101" s="112"/>
      <c r="K101" s="112"/>
      <c r="L101" s="112"/>
      <c r="M101" s="112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5.75" hidden="1" customHeight="1" x14ac:dyDescent="0.25">
      <c r="A102" s="63"/>
      <c r="B102" s="63"/>
      <c r="C102" s="112"/>
      <c r="D102" s="63"/>
      <c r="E102" s="63"/>
      <c r="F102" s="63"/>
      <c r="G102" s="112"/>
      <c r="H102" s="112"/>
      <c r="I102" s="112"/>
      <c r="J102" s="112"/>
      <c r="K102" s="112"/>
      <c r="L102" s="112"/>
      <c r="M102" s="112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5.75" hidden="1" customHeight="1" x14ac:dyDescent="0.25">
      <c r="A103" s="63"/>
      <c r="B103" s="63"/>
      <c r="C103" s="112"/>
      <c r="D103" s="63"/>
      <c r="E103" s="63"/>
      <c r="F103" s="63"/>
      <c r="G103" s="112"/>
      <c r="H103" s="112"/>
      <c r="I103" s="112"/>
      <c r="J103" s="112"/>
      <c r="K103" s="112"/>
      <c r="L103" s="112"/>
      <c r="M103" s="112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5.75" hidden="1" customHeight="1" x14ac:dyDescent="0.25">
      <c r="A104" s="63"/>
      <c r="B104" s="63"/>
      <c r="C104" s="112"/>
      <c r="D104" s="63"/>
      <c r="E104" s="63"/>
      <c r="F104" s="63"/>
      <c r="G104" s="112"/>
      <c r="H104" s="112"/>
      <c r="I104" s="112"/>
      <c r="J104" s="112"/>
      <c r="K104" s="112"/>
      <c r="L104" s="112"/>
      <c r="M104" s="112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5.75" hidden="1" customHeight="1" x14ac:dyDescent="0.25">
      <c r="A105" s="63"/>
      <c r="B105" s="63"/>
      <c r="C105" s="112"/>
      <c r="D105" s="63"/>
      <c r="E105" s="63"/>
      <c r="F105" s="63"/>
      <c r="G105" s="112"/>
      <c r="H105" s="112"/>
      <c r="I105" s="112"/>
      <c r="J105" s="112"/>
      <c r="K105" s="112"/>
      <c r="L105" s="112"/>
      <c r="M105" s="112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5.75" hidden="1" customHeight="1" x14ac:dyDescent="0.25">
      <c r="A106" s="63"/>
      <c r="B106" s="63"/>
      <c r="C106" s="112"/>
      <c r="D106" s="63"/>
      <c r="E106" s="63"/>
      <c r="F106" s="63"/>
      <c r="G106" s="112"/>
      <c r="H106" s="112"/>
      <c r="I106" s="112"/>
      <c r="J106" s="112"/>
      <c r="K106" s="112"/>
      <c r="L106" s="112"/>
      <c r="M106" s="112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5.75" hidden="1" customHeight="1" x14ac:dyDescent="0.25">
      <c r="A107" s="63"/>
      <c r="B107" s="63"/>
      <c r="C107" s="112"/>
      <c r="D107" s="63"/>
      <c r="E107" s="63"/>
      <c r="F107" s="63"/>
      <c r="G107" s="112"/>
      <c r="H107" s="112"/>
      <c r="I107" s="112"/>
      <c r="J107" s="112"/>
      <c r="K107" s="112"/>
      <c r="L107" s="112"/>
      <c r="M107" s="112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5.75" hidden="1" customHeight="1" x14ac:dyDescent="0.25">
      <c r="A108" s="63"/>
      <c r="B108" s="63"/>
      <c r="C108" s="112"/>
      <c r="D108" s="63"/>
      <c r="E108" s="63"/>
      <c r="F108" s="63"/>
      <c r="G108" s="112"/>
      <c r="H108" s="112"/>
      <c r="I108" s="112"/>
      <c r="J108" s="112"/>
      <c r="K108" s="112"/>
      <c r="L108" s="112"/>
      <c r="M108" s="112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5.75" hidden="1" customHeight="1" x14ac:dyDescent="0.25">
      <c r="A109" s="63"/>
      <c r="B109" s="63"/>
      <c r="C109" s="112"/>
      <c r="D109" s="63"/>
      <c r="E109" s="63"/>
      <c r="F109" s="63"/>
      <c r="G109" s="112"/>
      <c r="H109" s="112"/>
      <c r="I109" s="112"/>
      <c r="J109" s="112"/>
      <c r="K109" s="112"/>
      <c r="L109" s="112"/>
      <c r="M109" s="112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5.75" hidden="1" customHeight="1" x14ac:dyDescent="0.25">
      <c r="A110" s="63"/>
      <c r="B110" s="63"/>
      <c r="C110" s="112"/>
      <c r="D110" s="63"/>
      <c r="E110" s="63"/>
      <c r="F110" s="63"/>
      <c r="G110" s="112"/>
      <c r="H110" s="112"/>
      <c r="I110" s="112"/>
      <c r="J110" s="112"/>
      <c r="K110" s="112"/>
      <c r="L110" s="112"/>
      <c r="M110" s="112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5.75" hidden="1" customHeight="1" x14ac:dyDescent="0.25">
      <c r="A111" s="63"/>
      <c r="B111" s="63"/>
      <c r="C111" s="112"/>
      <c r="D111" s="63"/>
      <c r="E111" s="63"/>
      <c r="F111" s="63"/>
      <c r="G111" s="112"/>
      <c r="H111" s="112"/>
      <c r="I111" s="112"/>
      <c r="J111" s="112"/>
      <c r="K111" s="112"/>
      <c r="L111" s="112"/>
      <c r="M111" s="112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5.75" hidden="1" customHeight="1" x14ac:dyDescent="0.25">
      <c r="A112" s="63"/>
      <c r="B112" s="63"/>
      <c r="C112" s="112"/>
      <c r="D112" s="63"/>
      <c r="E112" s="63"/>
      <c r="F112" s="63"/>
      <c r="G112" s="112"/>
      <c r="H112" s="112"/>
      <c r="I112" s="112"/>
      <c r="J112" s="112"/>
      <c r="K112" s="112"/>
      <c r="L112" s="112"/>
      <c r="M112" s="112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5.75" hidden="1" customHeight="1" x14ac:dyDescent="0.25">
      <c r="A113" s="63"/>
      <c r="B113" s="63"/>
      <c r="C113" s="112"/>
      <c r="D113" s="63"/>
      <c r="E113" s="63"/>
      <c r="F113" s="63"/>
      <c r="G113" s="112"/>
      <c r="H113" s="112"/>
      <c r="I113" s="112"/>
      <c r="J113" s="112"/>
      <c r="K113" s="112"/>
      <c r="L113" s="112"/>
      <c r="M113" s="112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5.75" hidden="1" customHeight="1" x14ac:dyDescent="0.25">
      <c r="A114" s="63"/>
      <c r="B114" s="63"/>
      <c r="C114" s="112"/>
      <c r="D114" s="63"/>
      <c r="E114" s="63"/>
      <c r="F114" s="63"/>
      <c r="G114" s="112"/>
      <c r="H114" s="112"/>
      <c r="I114" s="112"/>
      <c r="J114" s="112"/>
      <c r="K114" s="112"/>
      <c r="L114" s="112"/>
      <c r="M114" s="112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5.75" hidden="1" customHeight="1" x14ac:dyDescent="0.25">
      <c r="A115" s="63"/>
      <c r="B115" s="63"/>
      <c r="C115" s="112"/>
      <c r="D115" s="63"/>
      <c r="E115" s="63"/>
      <c r="F115" s="63"/>
      <c r="G115" s="112"/>
      <c r="H115" s="112"/>
      <c r="I115" s="112"/>
      <c r="J115" s="112"/>
      <c r="K115" s="112"/>
      <c r="L115" s="112"/>
      <c r="M115" s="112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5.75" hidden="1" customHeight="1" x14ac:dyDescent="0.25">
      <c r="A116" s="63"/>
      <c r="B116" s="63"/>
      <c r="C116" s="112"/>
      <c r="D116" s="63"/>
      <c r="E116" s="63"/>
      <c r="F116" s="63"/>
      <c r="G116" s="112"/>
      <c r="H116" s="112"/>
      <c r="I116" s="112"/>
      <c r="J116" s="112"/>
      <c r="K116" s="112"/>
      <c r="L116" s="112"/>
      <c r="M116" s="112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15.75" hidden="1" customHeight="1" x14ac:dyDescent="0.25">
      <c r="A117" s="63"/>
      <c r="B117" s="63"/>
      <c r="C117" s="112"/>
      <c r="D117" s="63"/>
      <c r="E117" s="63"/>
      <c r="F117" s="63"/>
      <c r="G117" s="112"/>
      <c r="H117" s="112"/>
      <c r="I117" s="112"/>
      <c r="J117" s="112"/>
      <c r="K117" s="112"/>
      <c r="L117" s="112"/>
      <c r="M117" s="112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15.75" hidden="1" customHeight="1" x14ac:dyDescent="0.25">
      <c r="A118" s="63"/>
      <c r="B118" s="63"/>
      <c r="C118" s="112"/>
      <c r="D118" s="63"/>
      <c r="E118" s="63"/>
      <c r="F118" s="63"/>
      <c r="G118" s="112"/>
      <c r="H118" s="112"/>
      <c r="I118" s="112"/>
      <c r="J118" s="112"/>
      <c r="K118" s="112"/>
      <c r="L118" s="112"/>
      <c r="M118" s="112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15.75" hidden="1" customHeight="1" x14ac:dyDescent="0.25">
      <c r="A119" s="63"/>
      <c r="B119" s="63"/>
      <c r="C119" s="112"/>
      <c r="D119" s="63"/>
      <c r="E119" s="63"/>
      <c r="F119" s="63"/>
      <c r="G119" s="112"/>
      <c r="H119" s="112"/>
      <c r="I119" s="112"/>
      <c r="J119" s="112"/>
      <c r="K119" s="112"/>
      <c r="L119" s="112"/>
      <c r="M119" s="112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5.75" hidden="1" customHeight="1" x14ac:dyDescent="0.25">
      <c r="A120" s="63"/>
      <c r="B120" s="63"/>
      <c r="C120" s="112"/>
      <c r="D120" s="63"/>
      <c r="E120" s="63"/>
      <c r="F120" s="63"/>
      <c r="G120" s="112"/>
      <c r="H120" s="112"/>
      <c r="I120" s="112"/>
      <c r="J120" s="112"/>
      <c r="K120" s="112"/>
      <c r="L120" s="112"/>
      <c r="M120" s="112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5.75" hidden="1" customHeight="1" x14ac:dyDescent="0.25">
      <c r="A121" s="63"/>
      <c r="B121" s="63"/>
      <c r="C121" s="112"/>
      <c r="D121" s="63"/>
      <c r="E121" s="63"/>
      <c r="F121" s="63"/>
      <c r="G121" s="112"/>
      <c r="H121" s="112"/>
      <c r="I121" s="112"/>
      <c r="J121" s="112"/>
      <c r="K121" s="112"/>
      <c r="L121" s="112"/>
      <c r="M121" s="112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pans="1:26" ht="15.75" hidden="1" customHeight="1" x14ac:dyDescent="0.25">
      <c r="A122" s="63"/>
      <c r="B122" s="63"/>
      <c r="C122" s="112"/>
      <c r="D122" s="63"/>
      <c r="E122" s="63"/>
      <c r="F122" s="63"/>
      <c r="G122" s="112"/>
      <c r="H122" s="112"/>
      <c r="I122" s="112"/>
      <c r="J122" s="112"/>
      <c r="K122" s="112"/>
      <c r="L122" s="112"/>
      <c r="M122" s="112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pans="1:26" ht="15.75" hidden="1" customHeight="1" x14ac:dyDescent="0.25">
      <c r="A123" s="63"/>
      <c r="B123" s="63"/>
      <c r="C123" s="112"/>
      <c r="D123" s="63"/>
      <c r="E123" s="63"/>
      <c r="F123" s="63"/>
      <c r="G123" s="112"/>
      <c r="H123" s="112"/>
      <c r="I123" s="112"/>
      <c r="J123" s="112"/>
      <c r="K123" s="112"/>
      <c r="L123" s="112"/>
      <c r="M123" s="112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pans="1:26" ht="15.75" hidden="1" customHeight="1" x14ac:dyDescent="0.25">
      <c r="A124" s="63"/>
      <c r="B124" s="63"/>
      <c r="C124" s="112"/>
      <c r="D124" s="63"/>
      <c r="E124" s="63"/>
      <c r="F124" s="63"/>
      <c r="G124" s="112"/>
      <c r="H124" s="112"/>
      <c r="I124" s="112"/>
      <c r="J124" s="112"/>
      <c r="K124" s="112"/>
      <c r="L124" s="112"/>
      <c r="M124" s="112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pans="1:26" ht="15.75" hidden="1" customHeight="1" x14ac:dyDescent="0.25">
      <c r="A125" s="63"/>
      <c r="B125" s="63"/>
      <c r="C125" s="112"/>
      <c r="D125" s="63"/>
      <c r="E125" s="63"/>
      <c r="F125" s="63"/>
      <c r="G125" s="112"/>
      <c r="H125" s="112"/>
      <c r="I125" s="112"/>
      <c r="J125" s="112"/>
      <c r="K125" s="112"/>
      <c r="L125" s="112"/>
      <c r="M125" s="112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pans="1:26" ht="15.75" hidden="1" customHeight="1" x14ac:dyDescent="0.25">
      <c r="A126" s="63"/>
      <c r="B126" s="63"/>
      <c r="C126" s="112"/>
      <c r="D126" s="63"/>
      <c r="E126" s="63"/>
      <c r="F126" s="63"/>
      <c r="G126" s="112"/>
      <c r="H126" s="112"/>
      <c r="I126" s="112"/>
      <c r="J126" s="112"/>
      <c r="K126" s="112"/>
      <c r="L126" s="112"/>
      <c r="M126" s="112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pans="1:26" ht="15.75" hidden="1" customHeight="1" x14ac:dyDescent="0.25">
      <c r="A127" s="63"/>
      <c r="B127" s="63"/>
      <c r="C127" s="112"/>
      <c r="D127" s="63"/>
      <c r="E127" s="63"/>
      <c r="F127" s="63"/>
      <c r="G127" s="112"/>
      <c r="H127" s="112"/>
      <c r="I127" s="112"/>
      <c r="J127" s="112"/>
      <c r="K127" s="112"/>
      <c r="L127" s="112"/>
      <c r="M127" s="112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pans="1:26" ht="15.75" hidden="1" customHeight="1" x14ac:dyDescent="0.25">
      <c r="A128" s="63"/>
      <c r="B128" s="63"/>
      <c r="C128" s="112"/>
      <c r="D128" s="63"/>
      <c r="E128" s="63"/>
      <c r="F128" s="63"/>
      <c r="G128" s="112"/>
      <c r="H128" s="112"/>
      <c r="I128" s="112"/>
      <c r="J128" s="112"/>
      <c r="K128" s="112"/>
      <c r="L128" s="112"/>
      <c r="M128" s="112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pans="1:26" ht="15.75" hidden="1" customHeight="1" x14ac:dyDescent="0.25">
      <c r="A129" s="63"/>
      <c r="B129" s="63"/>
      <c r="C129" s="112"/>
      <c r="D129" s="63"/>
      <c r="E129" s="63"/>
      <c r="F129" s="63"/>
      <c r="G129" s="112"/>
      <c r="H129" s="112"/>
      <c r="I129" s="112"/>
      <c r="J129" s="112"/>
      <c r="K129" s="112"/>
      <c r="L129" s="112"/>
      <c r="M129" s="112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pans="1:26" ht="15.75" hidden="1" customHeight="1" x14ac:dyDescent="0.25">
      <c r="A130" s="63"/>
      <c r="B130" s="63"/>
      <c r="C130" s="112"/>
      <c r="D130" s="63"/>
      <c r="E130" s="63"/>
      <c r="F130" s="63"/>
      <c r="G130" s="112"/>
      <c r="H130" s="112"/>
      <c r="I130" s="112"/>
      <c r="J130" s="112"/>
      <c r="K130" s="112"/>
      <c r="L130" s="112"/>
      <c r="M130" s="112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15.75" hidden="1" customHeight="1" x14ac:dyDescent="0.25">
      <c r="A131" s="63"/>
      <c r="B131" s="63"/>
      <c r="C131" s="112"/>
      <c r="D131" s="63"/>
      <c r="E131" s="63"/>
      <c r="F131" s="63"/>
      <c r="G131" s="112"/>
      <c r="H131" s="112"/>
      <c r="I131" s="112"/>
      <c r="J131" s="112"/>
      <c r="K131" s="112"/>
      <c r="L131" s="112"/>
      <c r="M131" s="112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15.75" hidden="1" customHeight="1" x14ac:dyDescent="0.25">
      <c r="A132" s="63"/>
      <c r="B132" s="63"/>
      <c r="C132" s="112"/>
      <c r="D132" s="63"/>
      <c r="E132" s="63"/>
      <c r="F132" s="63"/>
      <c r="G132" s="112"/>
      <c r="H132" s="112"/>
      <c r="I132" s="112"/>
      <c r="J132" s="112"/>
      <c r="K132" s="112"/>
      <c r="L132" s="112"/>
      <c r="M132" s="112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15.75" hidden="1" customHeight="1" x14ac:dyDescent="0.25">
      <c r="A133" s="63"/>
      <c r="B133" s="63"/>
      <c r="C133" s="112"/>
      <c r="D133" s="63"/>
      <c r="E133" s="63"/>
      <c r="F133" s="63"/>
      <c r="G133" s="112"/>
      <c r="H133" s="112"/>
      <c r="I133" s="112"/>
      <c r="J133" s="112"/>
      <c r="K133" s="112"/>
      <c r="L133" s="112"/>
      <c r="M133" s="112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15.75" hidden="1" customHeight="1" x14ac:dyDescent="0.25">
      <c r="A134" s="63"/>
      <c r="B134" s="63"/>
      <c r="C134" s="112"/>
      <c r="D134" s="63"/>
      <c r="E134" s="63"/>
      <c r="F134" s="63"/>
      <c r="G134" s="112"/>
      <c r="H134" s="112"/>
      <c r="I134" s="112"/>
      <c r="J134" s="112"/>
      <c r="K134" s="112"/>
      <c r="L134" s="112"/>
      <c r="M134" s="112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15.75" hidden="1" customHeight="1" x14ac:dyDescent="0.25">
      <c r="A135" s="63"/>
      <c r="B135" s="63"/>
      <c r="C135" s="112"/>
      <c r="D135" s="63"/>
      <c r="E135" s="63"/>
      <c r="F135" s="63"/>
      <c r="G135" s="112"/>
      <c r="H135" s="112"/>
      <c r="I135" s="112"/>
      <c r="J135" s="112"/>
      <c r="K135" s="112"/>
      <c r="L135" s="112"/>
      <c r="M135" s="112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15.75" hidden="1" customHeight="1" x14ac:dyDescent="0.25">
      <c r="A136" s="63"/>
      <c r="B136" s="63"/>
      <c r="C136" s="112"/>
      <c r="D136" s="63"/>
      <c r="E136" s="63"/>
      <c r="F136" s="63"/>
      <c r="G136" s="112"/>
      <c r="H136" s="112"/>
      <c r="I136" s="112"/>
      <c r="J136" s="112"/>
      <c r="K136" s="112"/>
      <c r="L136" s="112"/>
      <c r="M136" s="112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5.75" hidden="1" customHeight="1" x14ac:dyDescent="0.25">
      <c r="A137" s="63"/>
      <c r="B137" s="63"/>
      <c r="C137" s="112"/>
      <c r="D137" s="63"/>
      <c r="E137" s="63"/>
      <c r="F137" s="63"/>
      <c r="G137" s="112"/>
      <c r="H137" s="112"/>
      <c r="I137" s="112"/>
      <c r="J137" s="112"/>
      <c r="K137" s="112"/>
      <c r="L137" s="112"/>
      <c r="M137" s="112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15.75" hidden="1" customHeight="1" x14ac:dyDescent="0.25">
      <c r="A138" s="63"/>
      <c r="B138" s="63"/>
      <c r="C138" s="112"/>
      <c r="D138" s="63"/>
      <c r="E138" s="63"/>
      <c r="F138" s="63"/>
      <c r="G138" s="112"/>
      <c r="H138" s="112"/>
      <c r="I138" s="112"/>
      <c r="J138" s="112"/>
      <c r="K138" s="112"/>
      <c r="L138" s="112"/>
      <c r="M138" s="112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15.75" hidden="1" customHeight="1" x14ac:dyDescent="0.25">
      <c r="A139" s="63"/>
      <c r="B139" s="63"/>
      <c r="C139" s="112"/>
      <c r="D139" s="63"/>
      <c r="E139" s="63"/>
      <c r="F139" s="63"/>
      <c r="G139" s="112"/>
      <c r="H139" s="112"/>
      <c r="I139" s="112"/>
      <c r="J139" s="112"/>
      <c r="K139" s="112"/>
      <c r="L139" s="112"/>
      <c r="M139" s="112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15.75" hidden="1" customHeight="1" x14ac:dyDescent="0.25">
      <c r="A140" s="63"/>
      <c r="B140" s="63"/>
      <c r="C140" s="112"/>
      <c r="D140" s="63"/>
      <c r="E140" s="63"/>
      <c r="F140" s="63"/>
      <c r="G140" s="112"/>
      <c r="H140" s="112"/>
      <c r="I140" s="112"/>
      <c r="J140" s="112"/>
      <c r="K140" s="112"/>
      <c r="L140" s="112"/>
      <c r="M140" s="112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15.75" hidden="1" customHeight="1" x14ac:dyDescent="0.25">
      <c r="A141" s="63"/>
      <c r="B141" s="63"/>
      <c r="C141" s="112"/>
      <c r="D141" s="63"/>
      <c r="E141" s="63"/>
      <c r="F141" s="63"/>
      <c r="G141" s="112"/>
      <c r="H141" s="112"/>
      <c r="I141" s="112"/>
      <c r="J141" s="112"/>
      <c r="K141" s="112"/>
      <c r="L141" s="112"/>
      <c r="M141" s="112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15.75" hidden="1" customHeight="1" x14ac:dyDescent="0.25">
      <c r="A142" s="63"/>
      <c r="B142" s="63"/>
      <c r="C142" s="112"/>
      <c r="D142" s="63"/>
      <c r="E142" s="63"/>
      <c r="F142" s="63"/>
      <c r="G142" s="112"/>
      <c r="H142" s="112"/>
      <c r="I142" s="112"/>
      <c r="J142" s="112"/>
      <c r="K142" s="112"/>
      <c r="L142" s="112"/>
      <c r="M142" s="112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15.75" hidden="1" customHeight="1" x14ac:dyDescent="0.25">
      <c r="A143" s="63"/>
      <c r="B143" s="63"/>
      <c r="C143" s="112"/>
      <c r="D143" s="63"/>
      <c r="E143" s="63"/>
      <c r="F143" s="63"/>
      <c r="G143" s="112"/>
      <c r="H143" s="112"/>
      <c r="I143" s="112"/>
      <c r="J143" s="112"/>
      <c r="K143" s="112"/>
      <c r="L143" s="112"/>
      <c r="M143" s="112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15.75" hidden="1" customHeight="1" x14ac:dyDescent="0.25">
      <c r="A144" s="63"/>
      <c r="B144" s="63"/>
      <c r="C144" s="112"/>
      <c r="D144" s="63"/>
      <c r="E144" s="63"/>
      <c r="F144" s="63"/>
      <c r="G144" s="112"/>
      <c r="H144" s="112"/>
      <c r="I144" s="112"/>
      <c r="J144" s="112"/>
      <c r="K144" s="112"/>
      <c r="L144" s="112"/>
      <c r="M144" s="112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15.75" hidden="1" customHeight="1" x14ac:dyDescent="0.25">
      <c r="A145" s="63"/>
      <c r="B145" s="63"/>
      <c r="C145" s="112"/>
      <c r="D145" s="63"/>
      <c r="E145" s="63"/>
      <c r="F145" s="63"/>
      <c r="G145" s="112"/>
      <c r="H145" s="112"/>
      <c r="I145" s="112"/>
      <c r="J145" s="112"/>
      <c r="K145" s="112"/>
      <c r="L145" s="112"/>
      <c r="M145" s="112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15.75" hidden="1" customHeight="1" x14ac:dyDescent="0.25">
      <c r="A146" s="63"/>
      <c r="B146" s="63"/>
      <c r="C146" s="112"/>
      <c r="D146" s="63"/>
      <c r="E146" s="63"/>
      <c r="F146" s="63"/>
      <c r="G146" s="112"/>
      <c r="H146" s="112"/>
      <c r="I146" s="112"/>
      <c r="J146" s="112"/>
      <c r="K146" s="112"/>
      <c r="L146" s="112"/>
      <c r="M146" s="112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15.75" hidden="1" customHeight="1" x14ac:dyDescent="0.25">
      <c r="A147" s="63"/>
      <c r="B147" s="63"/>
      <c r="C147" s="112"/>
      <c r="D147" s="63"/>
      <c r="E147" s="63"/>
      <c r="F147" s="63"/>
      <c r="G147" s="112"/>
      <c r="H147" s="112"/>
      <c r="I147" s="112"/>
      <c r="J147" s="112"/>
      <c r="K147" s="112"/>
      <c r="L147" s="112"/>
      <c r="M147" s="112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15.75" hidden="1" customHeight="1" x14ac:dyDescent="0.25">
      <c r="A148" s="63"/>
      <c r="B148" s="63"/>
      <c r="C148" s="112"/>
      <c r="D148" s="63"/>
      <c r="E148" s="63"/>
      <c r="F148" s="63"/>
      <c r="G148" s="112"/>
      <c r="H148" s="112"/>
      <c r="I148" s="112"/>
      <c r="J148" s="112"/>
      <c r="K148" s="112"/>
      <c r="L148" s="112"/>
      <c r="M148" s="112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15.75" hidden="1" customHeight="1" x14ac:dyDescent="0.25">
      <c r="A149" s="63"/>
      <c r="B149" s="63"/>
      <c r="C149" s="112"/>
      <c r="D149" s="63"/>
      <c r="E149" s="63"/>
      <c r="F149" s="63"/>
      <c r="G149" s="112"/>
      <c r="H149" s="112"/>
      <c r="I149" s="112"/>
      <c r="J149" s="112"/>
      <c r="K149" s="112"/>
      <c r="L149" s="112"/>
      <c r="M149" s="112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15.75" hidden="1" customHeight="1" x14ac:dyDescent="0.25">
      <c r="A150" s="63"/>
      <c r="B150" s="63"/>
      <c r="C150" s="112"/>
      <c r="D150" s="63"/>
      <c r="E150" s="63"/>
      <c r="F150" s="63"/>
      <c r="G150" s="112"/>
      <c r="H150" s="112"/>
      <c r="I150" s="112"/>
      <c r="J150" s="112"/>
      <c r="K150" s="112"/>
      <c r="L150" s="112"/>
      <c r="M150" s="112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15.75" hidden="1" customHeight="1" x14ac:dyDescent="0.25">
      <c r="A151" s="63"/>
      <c r="B151" s="63"/>
      <c r="C151" s="112"/>
      <c r="D151" s="63"/>
      <c r="E151" s="63"/>
      <c r="F151" s="63"/>
      <c r="G151" s="112"/>
      <c r="H151" s="112"/>
      <c r="I151" s="112"/>
      <c r="J151" s="112"/>
      <c r="K151" s="112"/>
      <c r="L151" s="112"/>
      <c r="M151" s="112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15.75" hidden="1" customHeight="1" x14ac:dyDescent="0.25">
      <c r="A152" s="63"/>
      <c r="B152" s="63"/>
      <c r="C152" s="112"/>
      <c r="D152" s="63"/>
      <c r="E152" s="63"/>
      <c r="F152" s="63"/>
      <c r="G152" s="112"/>
      <c r="H152" s="112"/>
      <c r="I152" s="112"/>
      <c r="J152" s="112"/>
      <c r="K152" s="112"/>
      <c r="L152" s="112"/>
      <c r="M152" s="112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15.75" hidden="1" customHeight="1" x14ac:dyDescent="0.25">
      <c r="A153" s="63"/>
      <c r="B153" s="63"/>
      <c r="C153" s="112"/>
      <c r="D153" s="63"/>
      <c r="E153" s="63"/>
      <c r="F153" s="63"/>
      <c r="G153" s="112"/>
      <c r="H153" s="112"/>
      <c r="I153" s="112"/>
      <c r="J153" s="112"/>
      <c r="K153" s="112"/>
      <c r="L153" s="112"/>
      <c r="M153" s="112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15.75" hidden="1" customHeight="1" x14ac:dyDescent="0.25">
      <c r="A154" s="63"/>
      <c r="B154" s="63"/>
      <c r="C154" s="112"/>
      <c r="D154" s="63"/>
      <c r="E154" s="63"/>
      <c r="F154" s="63"/>
      <c r="G154" s="112"/>
      <c r="H154" s="112"/>
      <c r="I154" s="112"/>
      <c r="J154" s="112"/>
      <c r="K154" s="112"/>
      <c r="L154" s="112"/>
      <c r="M154" s="112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15.75" hidden="1" customHeight="1" x14ac:dyDescent="0.25">
      <c r="A155" s="63"/>
      <c r="B155" s="63"/>
      <c r="C155" s="112"/>
      <c r="D155" s="63"/>
      <c r="E155" s="63"/>
      <c r="F155" s="63"/>
      <c r="G155" s="112"/>
      <c r="H155" s="112"/>
      <c r="I155" s="112"/>
      <c r="J155" s="112"/>
      <c r="K155" s="112"/>
      <c r="L155" s="112"/>
      <c r="M155" s="112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15.75" hidden="1" customHeight="1" x14ac:dyDescent="0.25">
      <c r="A156" s="63"/>
      <c r="B156" s="63"/>
      <c r="C156" s="112"/>
      <c r="D156" s="63"/>
      <c r="E156" s="63"/>
      <c r="F156" s="63"/>
      <c r="G156" s="112"/>
      <c r="H156" s="112"/>
      <c r="I156" s="112"/>
      <c r="J156" s="112"/>
      <c r="K156" s="112"/>
      <c r="L156" s="112"/>
      <c r="M156" s="112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15.75" hidden="1" customHeight="1" x14ac:dyDescent="0.25">
      <c r="A157" s="63"/>
      <c r="B157" s="63"/>
      <c r="C157" s="112"/>
      <c r="D157" s="63"/>
      <c r="E157" s="63"/>
      <c r="F157" s="63"/>
      <c r="G157" s="112"/>
      <c r="H157" s="112"/>
      <c r="I157" s="112"/>
      <c r="J157" s="112"/>
      <c r="K157" s="112"/>
      <c r="L157" s="112"/>
      <c r="M157" s="112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15.75" hidden="1" customHeight="1" x14ac:dyDescent="0.25">
      <c r="A158" s="63"/>
      <c r="B158" s="63"/>
      <c r="C158" s="112"/>
      <c r="D158" s="63"/>
      <c r="E158" s="63"/>
      <c r="F158" s="63"/>
      <c r="G158" s="112"/>
      <c r="H158" s="112"/>
      <c r="I158" s="112"/>
      <c r="J158" s="112"/>
      <c r="K158" s="112"/>
      <c r="L158" s="112"/>
      <c r="M158" s="112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15.75" hidden="1" customHeight="1" x14ac:dyDescent="0.25">
      <c r="A159" s="63"/>
      <c r="B159" s="63"/>
      <c r="C159" s="112"/>
      <c r="D159" s="63"/>
      <c r="E159" s="63"/>
      <c r="F159" s="63"/>
      <c r="G159" s="112"/>
      <c r="H159" s="112"/>
      <c r="I159" s="112"/>
      <c r="J159" s="112"/>
      <c r="K159" s="112"/>
      <c r="L159" s="112"/>
      <c r="M159" s="112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15.75" hidden="1" customHeight="1" x14ac:dyDescent="0.25">
      <c r="A160" s="63"/>
      <c r="B160" s="63"/>
      <c r="C160" s="112"/>
      <c r="D160" s="63"/>
      <c r="E160" s="63"/>
      <c r="F160" s="63"/>
      <c r="G160" s="112"/>
      <c r="H160" s="112"/>
      <c r="I160" s="112"/>
      <c r="J160" s="112"/>
      <c r="K160" s="112"/>
      <c r="L160" s="112"/>
      <c r="M160" s="112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15.75" hidden="1" customHeight="1" x14ac:dyDescent="0.25">
      <c r="A161" s="63"/>
      <c r="B161" s="63"/>
      <c r="C161" s="112"/>
      <c r="D161" s="63"/>
      <c r="E161" s="63"/>
      <c r="F161" s="63"/>
      <c r="G161" s="112"/>
      <c r="H161" s="112"/>
      <c r="I161" s="112"/>
      <c r="J161" s="112"/>
      <c r="K161" s="112"/>
      <c r="L161" s="112"/>
      <c r="M161" s="112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15.75" hidden="1" customHeight="1" x14ac:dyDescent="0.25">
      <c r="A162" s="63"/>
      <c r="B162" s="63"/>
      <c r="C162" s="112"/>
      <c r="D162" s="63"/>
      <c r="E162" s="63"/>
      <c r="F162" s="63"/>
      <c r="G162" s="112"/>
      <c r="H162" s="112"/>
      <c r="I162" s="112"/>
      <c r="J162" s="112"/>
      <c r="K162" s="112"/>
      <c r="L162" s="112"/>
      <c r="M162" s="112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15.75" hidden="1" customHeight="1" x14ac:dyDescent="0.25">
      <c r="A163" s="63"/>
      <c r="B163" s="63"/>
      <c r="C163" s="112"/>
      <c r="D163" s="63"/>
      <c r="E163" s="63"/>
      <c r="F163" s="63"/>
      <c r="G163" s="112"/>
      <c r="H163" s="112"/>
      <c r="I163" s="112"/>
      <c r="J163" s="112"/>
      <c r="K163" s="112"/>
      <c r="L163" s="112"/>
      <c r="M163" s="112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15.75" hidden="1" customHeight="1" x14ac:dyDescent="0.25">
      <c r="A164" s="63"/>
      <c r="B164" s="63"/>
      <c r="C164" s="112"/>
      <c r="D164" s="63"/>
      <c r="E164" s="63"/>
      <c r="F164" s="63"/>
      <c r="G164" s="112"/>
      <c r="H164" s="112"/>
      <c r="I164" s="112"/>
      <c r="J164" s="112"/>
      <c r="K164" s="112"/>
      <c r="L164" s="112"/>
      <c r="M164" s="112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15.75" hidden="1" customHeight="1" x14ac:dyDescent="0.25">
      <c r="A165" s="63"/>
      <c r="B165" s="63"/>
      <c r="C165" s="112"/>
      <c r="D165" s="63"/>
      <c r="E165" s="63"/>
      <c r="F165" s="63"/>
      <c r="G165" s="112"/>
      <c r="H165" s="112"/>
      <c r="I165" s="112"/>
      <c r="J165" s="112"/>
      <c r="K165" s="112"/>
      <c r="L165" s="112"/>
      <c r="M165" s="112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15.75" hidden="1" customHeight="1" x14ac:dyDescent="0.25">
      <c r="A166" s="63"/>
      <c r="B166" s="63"/>
      <c r="C166" s="112"/>
      <c r="D166" s="63"/>
      <c r="E166" s="63"/>
      <c r="F166" s="63"/>
      <c r="G166" s="112"/>
      <c r="H166" s="112"/>
      <c r="I166" s="112"/>
      <c r="J166" s="112"/>
      <c r="K166" s="112"/>
      <c r="L166" s="112"/>
      <c r="M166" s="112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15.75" hidden="1" customHeight="1" x14ac:dyDescent="0.25">
      <c r="A167" s="63"/>
      <c r="B167" s="63"/>
      <c r="C167" s="112"/>
      <c r="D167" s="63"/>
      <c r="E167" s="63"/>
      <c r="F167" s="63"/>
      <c r="G167" s="112"/>
      <c r="H167" s="112"/>
      <c r="I167" s="112"/>
      <c r="J167" s="112"/>
      <c r="K167" s="112"/>
      <c r="L167" s="112"/>
      <c r="M167" s="112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15.75" hidden="1" customHeight="1" x14ac:dyDescent="0.25">
      <c r="A168" s="63"/>
      <c r="B168" s="63"/>
      <c r="C168" s="112"/>
      <c r="D168" s="63"/>
      <c r="E168" s="63"/>
      <c r="F168" s="63"/>
      <c r="G168" s="112"/>
      <c r="H168" s="112"/>
      <c r="I168" s="112"/>
      <c r="J168" s="112"/>
      <c r="K168" s="112"/>
      <c r="L168" s="112"/>
      <c r="M168" s="112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15.75" hidden="1" customHeight="1" x14ac:dyDescent="0.25">
      <c r="A169" s="63"/>
      <c r="B169" s="63"/>
      <c r="C169" s="112"/>
      <c r="D169" s="63"/>
      <c r="E169" s="63"/>
      <c r="F169" s="63"/>
      <c r="G169" s="112"/>
      <c r="H169" s="112"/>
      <c r="I169" s="112"/>
      <c r="J169" s="112"/>
      <c r="K169" s="112"/>
      <c r="L169" s="112"/>
      <c r="M169" s="112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15.75" hidden="1" customHeight="1" x14ac:dyDescent="0.25">
      <c r="A170" s="63"/>
      <c r="B170" s="63"/>
      <c r="C170" s="112"/>
      <c r="D170" s="63"/>
      <c r="E170" s="63"/>
      <c r="F170" s="63"/>
      <c r="G170" s="112"/>
      <c r="H170" s="112"/>
      <c r="I170" s="112"/>
      <c r="J170" s="112"/>
      <c r="K170" s="112"/>
      <c r="L170" s="112"/>
      <c r="M170" s="112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15.75" hidden="1" customHeight="1" x14ac:dyDescent="0.25">
      <c r="A171" s="63"/>
      <c r="B171" s="63"/>
      <c r="C171" s="112"/>
      <c r="D171" s="63"/>
      <c r="E171" s="63"/>
      <c r="F171" s="63"/>
      <c r="G171" s="112"/>
      <c r="H171" s="112"/>
      <c r="I171" s="112"/>
      <c r="J171" s="112"/>
      <c r="K171" s="112"/>
      <c r="L171" s="112"/>
      <c r="M171" s="112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15.75" hidden="1" customHeight="1" x14ac:dyDescent="0.25">
      <c r="A172" s="63"/>
      <c r="B172" s="63"/>
      <c r="C172" s="112"/>
      <c r="D172" s="63"/>
      <c r="E172" s="63"/>
      <c r="F172" s="63"/>
      <c r="G172" s="112"/>
      <c r="H172" s="112"/>
      <c r="I172" s="112"/>
      <c r="J172" s="112"/>
      <c r="K172" s="112"/>
      <c r="L172" s="112"/>
      <c r="M172" s="112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15.75" hidden="1" customHeight="1" x14ac:dyDescent="0.25">
      <c r="A173" s="63"/>
      <c r="B173" s="63"/>
      <c r="C173" s="112"/>
      <c r="D173" s="63"/>
      <c r="E173" s="63"/>
      <c r="F173" s="63"/>
      <c r="G173" s="112"/>
      <c r="H173" s="112"/>
      <c r="I173" s="112"/>
      <c r="J173" s="112"/>
      <c r="K173" s="112"/>
      <c r="L173" s="112"/>
      <c r="M173" s="112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15.75" hidden="1" customHeight="1" x14ac:dyDescent="0.25">
      <c r="A174" s="63"/>
      <c r="B174" s="63"/>
      <c r="C174" s="112"/>
      <c r="D174" s="63"/>
      <c r="E174" s="63"/>
      <c r="F174" s="63"/>
      <c r="G174" s="112"/>
      <c r="H174" s="112"/>
      <c r="I174" s="112"/>
      <c r="J174" s="112"/>
      <c r="K174" s="112"/>
      <c r="L174" s="112"/>
      <c r="M174" s="112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15.75" hidden="1" customHeight="1" x14ac:dyDescent="0.25">
      <c r="A175" s="63"/>
      <c r="B175" s="63"/>
      <c r="C175" s="112"/>
      <c r="D175" s="63"/>
      <c r="E175" s="63"/>
      <c r="F175" s="63"/>
      <c r="G175" s="112"/>
      <c r="H175" s="112"/>
      <c r="I175" s="112"/>
      <c r="J175" s="112"/>
      <c r="K175" s="112"/>
      <c r="L175" s="112"/>
      <c r="M175" s="112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15.75" hidden="1" customHeight="1" x14ac:dyDescent="0.25">
      <c r="A176" s="63"/>
      <c r="B176" s="63"/>
      <c r="C176" s="112"/>
      <c r="D176" s="63"/>
      <c r="E176" s="63"/>
      <c r="F176" s="63"/>
      <c r="G176" s="112"/>
      <c r="H176" s="112"/>
      <c r="I176" s="112"/>
      <c r="J176" s="112"/>
      <c r="K176" s="112"/>
      <c r="L176" s="112"/>
      <c r="M176" s="112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15.75" hidden="1" customHeight="1" x14ac:dyDescent="0.25">
      <c r="A177" s="63"/>
      <c r="B177" s="63"/>
      <c r="C177" s="112"/>
      <c r="D177" s="63"/>
      <c r="E177" s="63"/>
      <c r="F177" s="63"/>
      <c r="G177" s="112"/>
      <c r="H177" s="112"/>
      <c r="I177" s="112"/>
      <c r="J177" s="112"/>
      <c r="K177" s="112"/>
      <c r="L177" s="112"/>
      <c r="M177" s="112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15.75" hidden="1" customHeight="1" x14ac:dyDescent="0.25">
      <c r="A178" s="63"/>
      <c r="B178" s="63"/>
      <c r="C178" s="112"/>
      <c r="D178" s="63"/>
      <c r="E178" s="63"/>
      <c r="F178" s="63"/>
      <c r="G178" s="112"/>
      <c r="H178" s="112"/>
      <c r="I178" s="112"/>
      <c r="J178" s="112"/>
      <c r="K178" s="112"/>
      <c r="L178" s="112"/>
      <c r="M178" s="112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15.75" hidden="1" customHeight="1" x14ac:dyDescent="0.25">
      <c r="A179" s="63"/>
      <c r="B179" s="63"/>
      <c r="C179" s="112"/>
      <c r="D179" s="63"/>
      <c r="E179" s="63"/>
      <c r="F179" s="63"/>
      <c r="G179" s="112"/>
      <c r="H179" s="112"/>
      <c r="I179" s="112"/>
      <c r="J179" s="112"/>
      <c r="K179" s="112"/>
      <c r="L179" s="112"/>
      <c r="M179" s="112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15.75" hidden="1" customHeight="1" x14ac:dyDescent="0.25">
      <c r="A180" s="63"/>
      <c r="B180" s="63"/>
      <c r="C180" s="112"/>
      <c r="D180" s="63"/>
      <c r="E180" s="63"/>
      <c r="F180" s="63"/>
      <c r="G180" s="112"/>
      <c r="H180" s="112"/>
      <c r="I180" s="112"/>
      <c r="J180" s="112"/>
      <c r="K180" s="112"/>
      <c r="L180" s="112"/>
      <c r="M180" s="112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15.75" hidden="1" customHeight="1" x14ac:dyDescent="0.25">
      <c r="A181" s="63"/>
      <c r="B181" s="63"/>
      <c r="C181" s="112"/>
      <c r="D181" s="63"/>
      <c r="E181" s="63"/>
      <c r="F181" s="63"/>
      <c r="G181" s="112"/>
      <c r="H181" s="112"/>
      <c r="I181" s="112"/>
      <c r="J181" s="112"/>
      <c r="K181" s="112"/>
      <c r="L181" s="112"/>
      <c r="M181" s="112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15.75" hidden="1" customHeight="1" x14ac:dyDescent="0.25">
      <c r="A182" s="63"/>
      <c r="B182" s="63"/>
      <c r="C182" s="112"/>
      <c r="D182" s="63"/>
      <c r="E182" s="63"/>
      <c r="F182" s="63"/>
      <c r="G182" s="112"/>
      <c r="H182" s="112"/>
      <c r="I182" s="112"/>
      <c r="J182" s="112"/>
      <c r="K182" s="112"/>
      <c r="L182" s="112"/>
      <c r="M182" s="112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15.75" hidden="1" customHeight="1" x14ac:dyDescent="0.25">
      <c r="A183" s="63"/>
      <c r="B183" s="63"/>
      <c r="C183" s="112"/>
      <c r="D183" s="63"/>
      <c r="E183" s="63"/>
      <c r="F183" s="63"/>
      <c r="G183" s="112"/>
      <c r="H183" s="112"/>
      <c r="I183" s="112"/>
      <c r="J183" s="112"/>
      <c r="K183" s="112"/>
      <c r="L183" s="112"/>
      <c r="M183" s="112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15.75" hidden="1" customHeight="1" x14ac:dyDescent="0.25">
      <c r="A184" s="63"/>
      <c r="B184" s="63"/>
      <c r="C184" s="112"/>
      <c r="D184" s="63"/>
      <c r="E184" s="63"/>
      <c r="F184" s="63"/>
      <c r="G184" s="112"/>
      <c r="H184" s="112"/>
      <c r="I184" s="112"/>
      <c r="J184" s="112"/>
      <c r="K184" s="112"/>
      <c r="L184" s="112"/>
      <c r="M184" s="112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15.75" hidden="1" customHeight="1" x14ac:dyDescent="0.25">
      <c r="A185" s="63"/>
      <c r="B185" s="63"/>
      <c r="C185" s="112"/>
      <c r="D185" s="63"/>
      <c r="E185" s="63"/>
      <c r="F185" s="63"/>
      <c r="G185" s="112"/>
      <c r="H185" s="112"/>
      <c r="I185" s="112"/>
      <c r="J185" s="112"/>
      <c r="K185" s="112"/>
      <c r="L185" s="112"/>
      <c r="M185" s="112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15.75" hidden="1" customHeight="1" x14ac:dyDescent="0.25">
      <c r="A186" s="63"/>
      <c r="B186" s="63"/>
      <c r="C186" s="112"/>
      <c r="D186" s="63"/>
      <c r="E186" s="63"/>
      <c r="F186" s="63"/>
      <c r="G186" s="112"/>
      <c r="H186" s="112"/>
      <c r="I186" s="112"/>
      <c r="J186" s="112"/>
      <c r="K186" s="112"/>
      <c r="L186" s="112"/>
      <c r="M186" s="112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15.75" hidden="1" customHeight="1" x14ac:dyDescent="0.25">
      <c r="A187" s="63"/>
      <c r="B187" s="63"/>
      <c r="C187" s="112"/>
      <c r="D187" s="63"/>
      <c r="E187" s="63"/>
      <c r="F187" s="63"/>
      <c r="G187" s="112"/>
      <c r="H187" s="112"/>
      <c r="I187" s="112"/>
      <c r="J187" s="112"/>
      <c r="K187" s="112"/>
      <c r="L187" s="112"/>
      <c r="M187" s="112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15.75" hidden="1" customHeight="1" x14ac:dyDescent="0.25">
      <c r="A188" s="63"/>
      <c r="B188" s="63"/>
      <c r="C188" s="112"/>
      <c r="D188" s="63"/>
      <c r="E188" s="63"/>
      <c r="F188" s="63"/>
      <c r="G188" s="112"/>
      <c r="H188" s="112"/>
      <c r="I188" s="112"/>
      <c r="J188" s="112"/>
      <c r="K188" s="112"/>
      <c r="L188" s="112"/>
      <c r="M188" s="112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15.75" hidden="1" customHeight="1" x14ac:dyDescent="0.25">
      <c r="A189" s="63"/>
      <c r="B189" s="63"/>
      <c r="C189" s="112"/>
      <c r="D189" s="63"/>
      <c r="E189" s="63"/>
      <c r="F189" s="63"/>
      <c r="G189" s="112"/>
      <c r="H189" s="112"/>
      <c r="I189" s="112"/>
      <c r="J189" s="112"/>
      <c r="K189" s="112"/>
      <c r="L189" s="112"/>
      <c r="M189" s="112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15.75" hidden="1" customHeight="1" x14ac:dyDescent="0.25">
      <c r="A190" s="63"/>
      <c r="B190" s="63"/>
      <c r="C190" s="112"/>
      <c r="D190" s="63"/>
      <c r="E190" s="63"/>
      <c r="F190" s="63"/>
      <c r="G190" s="112"/>
      <c r="H190" s="112"/>
      <c r="I190" s="112"/>
      <c r="J190" s="112"/>
      <c r="K190" s="112"/>
      <c r="L190" s="112"/>
      <c r="M190" s="112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15.75" hidden="1" customHeight="1" x14ac:dyDescent="0.25">
      <c r="A191" s="63"/>
      <c r="B191" s="63"/>
      <c r="C191" s="112"/>
      <c r="D191" s="63"/>
      <c r="E191" s="63"/>
      <c r="F191" s="63"/>
      <c r="G191" s="112"/>
      <c r="H191" s="112"/>
      <c r="I191" s="112"/>
      <c r="J191" s="112"/>
      <c r="K191" s="112"/>
      <c r="L191" s="112"/>
      <c r="M191" s="112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15.75" hidden="1" customHeight="1" x14ac:dyDescent="0.25">
      <c r="A192" s="63"/>
      <c r="B192" s="63"/>
      <c r="C192" s="112"/>
      <c r="D192" s="63"/>
      <c r="E192" s="63"/>
      <c r="F192" s="63"/>
      <c r="G192" s="112"/>
      <c r="H192" s="112"/>
      <c r="I192" s="112"/>
      <c r="J192" s="112"/>
      <c r="K192" s="112"/>
      <c r="L192" s="112"/>
      <c r="M192" s="112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15.75" hidden="1" customHeight="1" x14ac:dyDescent="0.25">
      <c r="A193" s="63"/>
      <c r="B193" s="63"/>
      <c r="C193" s="112"/>
      <c r="D193" s="63"/>
      <c r="E193" s="63"/>
      <c r="F193" s="63"/>
      <c r="G193" s="112"/>
      <c r="H193" s="112"/>
      <c r="I193" s="112"/>
      <c r="J193" s="112"/>
      <c r="K193" s="112"/>
      <c r="L193" s="112"/>
      <c r="M193" s="112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15.75" hidden="1" customHeight="1" x14ac:dyDescent="0.25">
      <c r="A194" s="63"/>
      <c r="B194" s="63"/>
      <c r="C194" s="112"/>
      <c r="D194" s="63"/>
      <c r="E194" s="63"/>
      <c r="F194" s="63"/>
      <c r="G194" s="112"/>
      <c r="H194" s="112"/>
      <c r="I194" s="112"/>
      <c r="J194" s="112"/>
      <c r="K194" s="112"/>
      <c r="L194" s="112"/>
      <c r="M194" s="112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15.75" hidden="1" customHeight="1" x14ac:dyDescent="0.25">
      <c r="A195" s="63"/>
      <c r="B195" s="63"/>
      <c r="C195" s="112"/>
      <c r="D195" s="63"/>
      <c r="E195" s="63"/>
      <c r="F195" s="63"/>
      <c r="G195" s="112"/>
      <c r="H195" s="112"/>
      <c r="I195" s="112"/>
      <c r="J195" s="112"/>
      <c r="K195" s="112"/>
      <c r="L195" s="112"/>
      <c r="M195" s="112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5.75" hidden="1" customHeight="1" x14ac:dyDescent="0.25">
      <c r="A196" s="63"/>
      <c r="B196" s="63"/>
      <c r="C196" s="112"/>
      <c r="D196" s="63"/>
      <c r="E196" s="63"/>
      <c r="F196" s="63"/>
      <c r="G196" s="112"/>
      <c r="H196" s="112"/>
      <c r="I196" s="112"/>
      <c r="J196" s="112"/>
      <c r="K196" s="112"/>
      <c r="L196" s="112"/>
      <c r="M196" s="112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15.75" hidden="1" customHeight="1" x14ac:dyDescent="0.25">
      <c r="A197" s="63"/>
      <c r="B197" s="63"/>
      <c r="C197" s="112"/>
      <c r="D197" s="63"/>
      <c r="E197" s="63"/>
      <c r="F197" s="63"/>
      <c r="G197" s="112"/>
      <c r="H197" s="112"/>
      <c r="I197" s="112"/>
      <c r="J197" s="112"/>
      <c r="K197" s="112"/>
      <c r="L197" s="112"/>
      <c r="M197" s="112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15.75" hidden="1" customHeight="1" x14ac:dyDescent="0.25">
      <c r="A198" s="63"/>
      <c r="B198" s="63"/>
      <c r="C198" s="112"/>
      <c r="D198" s="63"/>
      <c r="E198" s="63"/>
      <c r="F198" s="63"/>
      <c r="G198" s="112"/>
      <c r="H198" s="112"/>
      <c r="I198" s="112"/>
      <c r="J198" s="112"/>
      <c r="K198" s="112"/>
      <c r="L198" s="112"/>
      <c r="M198" s="112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15.75" hidden="1" customHeight="1" x14ac:dyDescent="0.25">
      <c r="A199" s="63"/>
      <c r="B199" s="63"/>
      <c r="C199" s="112"/>
      <c r="D199" s="63"/>
      <c r="E199" s="63"/>
      <c r="F199" s="63"/>
      <c r="G199" s="112"/>
      <c r="H199" s="112"/>
      <c r="I199" s="112"/>
      <c r="J199" s="112"/>
      <c r="K199" s="112"/>
      <c r="L199" s="112"/>
      <c r="M199" s="112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15.75" hidden="1" customHeight="1" x14ac:dyDescent="0.25">
      <c r="A200" s="63"/>
      <c r="B200" s="63"/>
      <c r="C200" s="112"/>
      <c r="D200" s="63"/>
      <c r="E200" s="63"/>
      <c r="F200" s="63"/>
      <c r="G200" s="112"/>
      <c r="H200" s="112"/>
      <c r="I200" s="112"/>
      <c r="J200" s="112"/>
      <c r="K200" s="112"/>
      <c r="L200" s="112"/>
      <c r="M200" s="112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15.75" hidden="1" customHeight="1" x14ac:dyDescent="0.25">
      <c r="A201" s="63"/>
      <c r="B201" s="63"/>
      <c r="C201" s="112"/>
      <c r="D201" s="63"/>
      <c r="E201" s="63"/>
      <c r="F201" s="63"/>
      <c r="G201" s="112"/>
      <c r="H201" s="112"/>
      <c r="I201" s="112"/>
      <c r="J201" s="112"/>
      <c r="K201" s="112"/>
      <c r="L201" s="112"/>
      <c r="M201" s="112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15.75" hidden="1" customHeight="1" x14ac:dyDescent="0.25">
      <c r="A202" s="63"/>
      <c r="B202" s="63"/>
      <c r="C202" s="112"/>
      <c r="D202" s="63"/>
      <c r="E202" s="63"/>
      <c r="F202" s="63"/>
      <c r="G202" s="112"/>
      <c r="H202" s="112"/>
      <c r="I202" s="112"/>
      <c r="J202" s="112"/>
      <c r="K202" s="112"/>
      <c r="L202" s="112"/>
      <c r="M202" s="112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15.75" hidden="1" customHeight="1" x14ac:dyDescent="0.25">
      <c r="A203" s="63"/>
      <c r="B203" s="63"/>
      <c r="C203" s="112"/>
      <c r="D203" s="63"/>
      <c r="E203" s="63"/>
      <c r="F203" s="63"/>
      <c r="G203" s="112"/>
      <c r="H203" s="112"/>
      <c r="I203" s="112"/>
      <c r="J203" s="112"/>
      <c r="K203" s="112"/>
      <c r="L203" s="112"/>
      <c r="M203" s="112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15.75" hidden="1" customHeight="1" x14ac:dyDescent="0.25">
      <c r="A204" s="63"/>
      <c r="B204" s="63"/>
      <c r="C204" s="112"/>
      <c r="D204" s="63"/>
      <c r="E204" s="63"/>
      <c r="F204" s="63"/>
      <c r="G204" s="112"/>
      <c r="H204" s="112"/>
      <c r="I204" s="112"/>
      <c r="J204" s="112"/>
      <c r="K204" s="112"/>
      <c r="L204" s="112"/>
      <c r="M204" s="112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15.75" hidden="1" customHeight="1" x14ac:dyDescent="0.25">
      <c r="A205" s="63"/>
      <c r="B205" s="63"/>
      <c r="C205" s="112"/>
      <c r="D205" s="63"/>
      <c r="E205" s="63"/>
      <c r="F205" s="63"/>
      <c r="G205" s="112"/>
      <c r="H205" s="112"/>
      <c r="I205" s="112"/>
      <c r="J205" s="112"/>
      <c r="K205" s="112"/>
      <c r="L205" s="112"/>
      <c r="M205" s="112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15.75" hidden="1" customHeight="1" x14ac:dyDescent="0.25">
      <c r="A206" s="63"/>
      <c r="B206" s="63"/>
      <c r="C206" s="112"/>
      <c r="D206" s="63"/>
      <c r="E206" s="63"/>
      <c r="F206" s="63"/>
      <c r="G206" s="112"/>
      <c r="H206" s="112"/>
      <c r="I206" s="112"/>
      <c r="J206" s="112"/>
      <c r="K206" s="112"/>
      <c r="L206" s="112"/>
      <c r="M206" s="112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15.75" hidden="1" customHeight="1" x14ac:dyDescent="0.25">
      <c r="A207" s="63"/>
      <c r="B207" s="63"/>
      <c r="C207" s="112"/>
      <c r="D207" s="63"/>
      <c r="E207" s="63"/>
      <c r="F207" s="63"/>
      <c r="G207" s="112"/>
      <c r="H207" s="112"/>
      <c r="I207" s="112"/>
      <c r="J207" s="112"/>
      <c r="K207" s="112"/>
      <c r="L207" s="112"/>
      <c r="M207" s="112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15.75" hidden="1" customHeight="1" x14ac:dyDescent="0.25">
      <c r="A208" s="63"/>
      <c r="B208" s="63"/>
      <c r="C208" s="112"/>
      <c r="D208" s="63"/>
      <c r="E208" s="63"/>
      <c r="F208" s="63"/>
      <c r="G208" s="112"/>
      <c r="H208" s="112"/>
      <c r="I208" s="112"/>
      <c r="J208" s="112"/>
      <c r="K208" s="112"/>
      <c r="L208" s="112"/>
      <c r="M208" s="112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15.75" hidden="1" customHeight="1" x14ac:dyDescent="0.25">
      <c r="A209" s="63"/>
      <c r="B209" s="63"/>
      <c r="C209" s="112"/>
      <c r="D209" s="63"/>
      <c r="E209" s="63"/>
      <c r="F209" s="63"/>
      <c r="G209" s="112"/>
      <c r="H209" s="112"/>
      <c r="I209" s="112"/>
      <c r="J209" s="112"/>
      <c r="K209" s="112"/>
      <c r="L209" s="112"/>
      <c r="M209" s="112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15.75" hidden="1" customHeight="1" x14ac:dyDescent="0.25">
      <c r="A210" s="63"/>
      <c r="B210" s="63"/>
      <c r="C210" s="112"/>
      <c r="D210" s="63"/>
      <c r="E210" s="63"/>
      <c r="F210" s="63"/>
      <c r="G210" s="112"/>
      <c r="H210" s="112"/>
      <c r="I210" s="112"/>
      <c r="J210" s="112"/>
      <c r="K210" s="112"/>
      <c r="L210" s="112"/>
      <c r="M210" s="112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15.75" hidden="1" customHeight="1" x14ac:dyDescent="0.25">
      <c r="A211" s="63"/>
      <c r="B211" s="63"/>
      <c r="C211" s="112"/>
      <c r="D211" s="63"/>
      <c r="E211" s="63"/>
      <c r="F211" s="63"/>
      <c r="G211" s="112"/>
      <c r="H211" s="112"/>
      <c r="I211" s="112"/>
      <c r="J211" s="112"/>
      <c r="K211" s="112"/>
      <c r="L211" s="112"/>
      <c r="M211" s="112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15.75" hidden="1" customHeight="1" x14ac:dyDescent="0.25">
      <c r="A212" s="63"/>
      <c r="B212" s="63"/>
      <c r="C212" s="112"/>
      <c r="D212" s="63"/>
      <c r="E212" s="63"/>
      <c r="F212" s="63"/>
      <c r="G212" s="112"/>
      <c r="H212" s="112"/>
      <c r="I212" s="112"/>
      <c r="J212" s="112"/>
      <c r="K212" s="112"/>
      <c r="L212" s="112"/>
      <c r="M212" s="112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15.75" hidden="1" customHeight="1" x14ac:dyDescent="0.25">
      <c r="A213" s="63"/>
      <c r="B213" s="63"/>
      <c r="C213" s="112"/>
      <c r="D213" s="63"/>
      <c r="E213" s="63"/>
      <c r="F213" s="63"/>
      <c r="G213" s="112"/>
      <c r="H213" s="112"/>
      <c r="I213" s="112"/>
      <c r="J213" s="112"/>
      <c r="K213" s="112"/>
      <c r="L213" s="112"/>
      <c r="M213" s="112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15.75" hidden="1" customHeight="1" x14ac:dyDescent="0.25">
      <c r="A214" s="63"/>
      <c r="B214" s="63"/>
      <c r="C214" s="112"/>
      <c r="D214" s="63"/>
      <c r="E214" s="63"/>
      <c r="F214" s="63"/>
      <c r="G214" s="112"/>
      <c r="H214" s="112"/>
      <c r="I214" s="112"/>
      <c r="J214" s="112"/>
      <c r="K214" s="112"/>
      <c r="L214" s="112"/>
      <c r="M214" s="112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15.75" hidden="1" customHeight="1" x14ac:dyDescent="0.25">
      <c r="A215" s="63"/>
      <c r="B215" s="63"/>
      <c r="C215" s="112"/>
      <c r="D215" s="63"/>
      <c r="E215" s="63"/>
      <c r="F215" s="63"/>
      <c r="G215" s="112"/>
      <c r="H215" s="112"/>
      <c r="I215" s="112"/>
      <c r="J215" s="112"/>
      <c r="K215" s="112"/>
      <c r="L215" s="112"/>
      <c r="M215" s="112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5.75" hidden="1" customHeight="1" x14ac:dyDescent="0.25">
      <c r="A216" s="63"/>
      <c r="B216" s="63"/>
      <c r="C216" s="112"/>
      <c r="D216" s="63"/>
      <c r="E216" s="63"/>
      <c r="F216" s="63"/>
      <c r="G216" s="112"/>
      <c r="H216" s="112"/>
      <c r="I216" s="112"/>
      <c r="J216" s="112"/>
      <c r="K216" s="112"/>
      <c r="L216" s="112"/>
      <c r="M216" s="112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15.75" hidden="1" customHeight="1" x14ac:dyDescent="0.25">
      <c r="A217" s="63"/>
      <c r="B217" s="63"/>
      <c r="C217" s="112"/>
      <c r="D217" s="63"/>
      <c r="E217" s="63"/>
      <c r="F217" s="63"/>
      <c r="G217" s="112"/>
      <c r="H217" s="112"/>
      <c r="I217" s="112"/>
      <c r="J217" s="112"/>
      <c r="K217" s="112"/>
      <c r="L217" s="112"/>
      <c r="M217" s="112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15.75" hidden="1" customHeight="1" x14ac:dyDescent="0.25">
      <c r="A218" s="63"/>
      <c r="B218" s="63"/>
      <c r="C218" s="112"/>
      <c r="D218" s="63"/>
      <c r="E218" s="63"/>
      <c r="F218" s="63"/>
      <c r="G218" s="112"/>
      <c r="H218" s="112"/>
      <c r="I218" s="112"/>
      <c r="J218" s="112"/>
      <c r="K218" s="112"/>
      <c r="L218" s="112"/>
      <c r="M218" s="112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15.75" hidden="1" customHeight="1" x14ac:dyDescent="0.25">
      <c r="A219" s="63"/>
      <c r="B219" s="63"/>
      <c r="C219" s="112"/>
      <c r="D219" s="63"/>
      <c r="E219" s="63"/>
      <c r="F219" s="63"/>
      <c r="G219" s="112"/>
      <c r="H219" s="112"/>
      <c r="I219" s="112"/>
      <c r="J219" s="112"/>
      <c r="K219" s="112"/>
      <c r="L219" s="112"/>
      <c r="M219" s="112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5.75" hidden="1" customHeight="1" x14ac:dyDescent="0.25">
      <c r="A220" s="63"/>
      <c r="B220" s="63"/>
      <c r="C220" s="112"/>
      <c r="D220" s="63"/>
      <c r="E220" s="63"/>
      <c r="F220" s="63"/>
      <c r="G220" s="112"/>
      <c r="H220" s="112"/>
      <c r="I220" s="112"/>
      <c r="J220" s="112"/>
      <c r="K220" s="112"/>
      <c r="L220" s="112"/>
      <c r="M220" s="112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5.75" hidden="1" customHeight="1" x14ac:dyDescent="0.25">
      <c r="A221" s="63"/>
      <c r="B221" s="63"/>
      <c r="C221" s="112"/>
      <c r="D221" s="63"/>
      <c r="E221" s="63"/>
      <c r="F221" s="63"/>
      <c r="G221" s="112"/>
      <c r="H221" s="112"/>
      <c r="I221" s="112"/>
      <c r="J221" s="112"/>
      <c r="K221" s="112"/>
      <c r="L221" s="112"/>
      <c r="M221" s="112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5.75" hidden="1" customHeight="1" x14ac:dyDescent="0.25">
      <c r="A222" s="63"/>
      <c r="B222" s="63"/>
      <c r="C222" s="112"/>
      <c r="D222" s="63"/>
      <c r="E222" s="63"/>
      <c r="F222" s="63"/>
      <c r="G222" s="112"/>
      <c r="H222" s="112"/>
      <c r="I222" s="112"/>
      <c r="J222" s="112"/>
      <c r="K222" s="112"/>
      <c r="L222" s="112"/>
      <c r="M222" s="112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5.75" hidden="1" customHeight="1" x14ac:dyDescent="0.25">
      <c r="A223" s="63"/>
      <c r="B223" s="63"/>
      <c r="C223" s="112"/>
      <c r="D223" s="63"/>
      <c r="E223" s="63"/>
      <c r="F223" s="63"/>
      <c r="G223" s="112"/>
      <c r="H223" s="112"/>
      <c r="I223" s="112"/>
      <c r="J223" s="112"/>
      <c r="K223" s="112"/>
      <c r="L223" s="112"/>
      <c r="M223" s="112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5.75" hidden="1" customHeight="1" x14ac:dyDescent="0.25">
      <c r="A224" s="63"/>
      <c r="B224" s="63"/>
      <c r="C224" s="112"/>
      <c r="D224" s="63"/>
      <c r="E224" s="63"/>
      <c r="F224" s="63"/>
      <c r="G224" s="112"/>
      <c r="H224" s="112"/>
      <c r="I224" s="112"/>
      <c r="J224" s="112"/>
      <c r="K224" s="112"/>
      <c r="L224" s="112"/>
      <c r="M224" s="112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5.75" hidden="1" customHeight="1" x14ac:dyDescent="0.25">
      <c r="A225" s="63"/>
      <c r="B225" s="63"/>
      <c r="C225" s="112"/>
      <c r="D225" s="63"/>
      <c r="E225" s="63"/>
      <c r="F225" s="63"/>
      <c r="G225" s="112"/>
      <c r="H225" s="112"/>
      <c r="I225" s="112"/>
      <c r="J225" s="112"/>
      <c r="K225" s="112"/>
      <c r="L225" s="112"/>
      <c r="M225" s="112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5.75" hidden="1" customHeight="1" x14ac:dyDescent="0.25">
      <c r="A226" s="63"/>
      <c r="B226" s="63"/>
      <c r="C226" s="112"/>
      <c r="D226" s="63"/>
      <c r="E226" s="63"/>
      <c r="F226" s="63"/>
      <c r="G226" s="112"/>
      <c r="H226" s="112"/>
      <c r="I226" s="112"/>
      <c r="J226" s="112"/>
      <c r="K226" s="112"/>
      <c r="L226" s="112"/>
      <c r="M226" s="112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8">
    <mergeCell ref="D19:E19"/>
    <mergeCell ref="B26:E26"/>
    <mergeCell ref="B4:E4"/>
    <mergeCell ref="G4:M4"/>
    <mergeCell ref="B5:E5"/>
    <mergeCell ref="H5:J5"/>
    <mergeCell ref="K5:M5"/>
    <mergeCell ref="B6:E6"/>
  </mergeCells>
  <conditionalFormatting sqref="C19">
    <cfRule type="cellIs" dxfId="11" priority="1" operator="greaterThan">
      <formula>1</formula>
    </cfRule>
    <cfRule type="cellIs" dxfId="10" priority="2" operator="equal">
      <formula>1</formula>
    </cfRule>
    <cfRule type="cellIs" dxfId="9" priority="3" operator="greaterThan">
      <formula>1</formula>
    </cfRule>
    <cfRule type="cellIs" dxfId="8" priority="4" operator="lessThan">
      <formula>1</formula>
    </cfRule>
  </conditionalFormatting>
  <conditionalFormatting sqref="D17">
    <cfRule type="cellIs" dxfId="7" priority="5" operator="equal">
      <formula>"Terlambat"</formula>
    </cfRule>
    <cfRule type="cellIs" dxfId="6" priority="6" operator="equal">
      <formula>"Tepat Waktu"</formula>
    </cfRule>
  </conditionalFormatting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086B-8C69-4DCD-8F82-324C55041AD4}">
  <sheetPr>
    <tabColor rgb="FF00B050"/>
  </sheetPr>
  <dimension ref="A1:Z1002"/>
  <sheetViews>
    <sheetView showGridLines="0" topLeftCell="A7" workbookViewId="0">
      <selection activeCell="D14" sqref="D14"/>
    </sheetView>
  </sheetViews>
  <sheetFormatPr defaultColWidth="14.42578125" defaultRowHeight="15" customHeight="1" x14ac:dyDescent="0.25"/>
  <cols>
    <col min="1" max="1" width="6.42578125" style="61" customWidth="1"/>
    <col min="2" max="2" width="36.5703125" style="61" customWidth="1"/>
    <col min="3" max="3" width="21.7109375" style="61" customWidth="1"/>
    <col min="4" max="4" width="21.5703125" style="61" customWidth="1"/>
    <col min="5" max="5" width="33.140625" style="61" customWidth="1"/>
    <col min="6" max="6" width="7.140625" style="61" customWidth="1"/>
    <col min="7" max="7" width="13.140625" style="61" hidden="1" customWidth="1"/>
    <col min="8" max="10" width="14.140625" style="61" hidden="1" customWidth="1"/>
    <col min="11" max="13" width="11.85546875" style="61" hidden="1" customWidth="1"/>
    <col min="14" max="14" width="8.7109375" style="61" customWidth="1"/>
    <col min="15" max="26" width="8.7109375" style="61" hidden="1" customWidth="1"/>
    <col min="27" max="16384" width="14.42578125" style="61"/>
  </cols>
  <sheetData>
    <row r="1" spans="1:26" ht="17.25" customHeight="1" x14ac:dyDescent="0.3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</row>
    <row r="2" spans="1:26" ht="17.25" customHeight="1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26" ht="17.25" customHeight="1" thickBot="1" x14ac:dyDescent="0.3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</row>
    <row r="4" spans="1:26" ht="19.5" customHeight="1" x14ac:dyDescent="0.3">
      <c r="A4" s="62"/>
      <c r="B4" s="118" t="s">
        <v>1</v>
      </c>
      <c r="C4" s="119"/>
      <c r="D4" s="119"/>
      <c r="E4" s="120"/>
      <c r="F4" s="62"/>
      <c r="G4" s="121" t="s">
        <v>2</v>
      </c>
      <c r="H4" s="122"/>
      <c r="I4" s="122"/>
      <c r="J4" s="122"/>
      <c r="K4" s="122"/>
      <c r="L4" s="122"/>
      <c r="M4" s="122"/>
      <c r="N4" s="62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pans="1:26" ht="18.75" x14ac:dyDescent="0.25">
      <c r="A5" s="62"/>
      <c r="B5" s="123" t="s">
        <v>3</v>
      </c>
      <c r="C5" s="117"/>
      <c r="D5" s="117"/>
      <c r="E5" s="115"/>
      <c r="F5" s="62"/>
      <c r="G5" s="64"/>
      <c r="H5" s="124" t="s">
        <v>4</v>
      </c>
      <c r="I5" s="125"/>
      <c r="J5" s="126"/>
      <c r="K5" s="127" t="s">
        <v>5</v>
      </c>
      <c r="L5" s="125"/>
      <c r="M5" s="126"/>
      <c r="N5" s="62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32.25" customHeight="1" x14ac:dyDescent="0.25">
      <c r="A6" s="62"/>
      <c r="B6" s="128" t="s">
        <v>6</v>
      </c>
      <c r="C6" s="117"/>
      <c r="D6" s="117"/>
      <c r="E6" s="115"/>
      <c r="F6" s="62"/>
      <c r="G6" s="65" t="s">
        <v>7</v>
      </c>
      <c r="H6" s="66">
        <v>28</v>
      </c>
      <c r="I6" s="66">
        <v>30</v>
      </c>
      <c r="J6" s="66">
        <v>31</v>
      </c>
      <c r="K6" s="66">
        <v>28</v>
      </c>
      <c r="L6" s="66">
        <v>30</v>
      </c>
      <c r="M6" s="66">
        <v>31</v>
      </c>
      <c r="N6" s="62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6" x14ac:dyDescent="0.25">
      <c r="A7" s="62"/>
      <c r="B7" s="67"/>
      <c r="C7" s="68"/>
      <c r="D7" s="69"/>
      <c r="E7" s="70"/>
      <c r="F7" s="62"/>
      <c r="G7" s="71" t="s">
        <v>8</v>
      </c>
      <c r="H7" s="64"/>
      <c r="I7" s="64"/>
      <c r="J7" s="64"/>
      <c r="K7" s="64"/>
      <c r="L7" s="64"/>
      <c r="M7" s="64"/>
      <c r="N7" s="62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x14ac:dyDescent="0.25">
      <c r="A8" s="62"/>
      <c r="B8" s="67"/>
      <c r="C8" s="68"/>
      <c r="D8" s="69"/>
      <c r="E8" s="70"/>
      <c r="F8" s="62"/>
      <c r="G8" s="72">
        <v>0.5</v>
      </c>
      <c r="H8" s="73">
        <v>14</v>
      </c>
      <c r="I8" s="74">
        <v>15</v>
      </c>
      <c r="J8" s="75">
        <v>15</v>
      </c>
      <c r="K8" s="76">
        <f t="shared" ref="K8:K18" si="0">G8*($K$6/H8)</f>
        <v>1</v>
      </c>
      <c r="L8" s="77">
        <f t="shared" ref="L8:L18" si="1">G8*($L$6/I8)</f>
        <v>1</v>
      </c>
      <c r="M8" s="78">
        <f t="shared" ref="M8:M18" si="2">G8*($M$6/J8)</f>
        <v>1.0333333333333334</v>
      </c>
      <c r="N8" s="62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18.75" x14ac:dyDescent="0.3">
      <c r="A9" s="62"/>
      <c r="B9" s="79" t="s">
        <v>9</v>
      </c>
      <c r="C9" s="80">
        <v>760500000</v>
      </c>
      <c r="D9" s="81"/>
      <c r="E9" s="82"/>
      <c r="F9" s="62"/>
      <c r="G9" s="72">
        <v>0.55000000000000004</v>
      </c>
      <c r="H9" s="73">
        <v>15</v>
      </c>
      <c r="I9" s="74">
        <v>16</v>
      </c>
      <c r="J9" s="75">
        <v>17</v>
      </c>
      <c r="K9" s="76">
        <f t="shared" si="0"/>
        <v>1.0266666666666668</v>
      </c>
      <c r="L9" s="77">
        <f t="shared" si="1"/>
        <v>1.03125</v>
      </c>
      <c r="M9" s="78">
        <f t="shared" si="2"/>
        <v>1.0029411764705882</v>
      </c>
      <c r="N9" s="62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pans="1:26" ht="18.75" x14ac:dyDescent="0.3">
      <c r="A10" s="62"/>
      <c r="B10" s="83" t="s">
        <v>10</v>
      </c>
      <c r="C10" s="84">
        <v>657178941</v>
      </c>
      <c r="D10" s="81"/>
      <c r="E10" s="82"/>
      <c r="F10" s="62"/>
      <c r="G10" s="72">
        <v>0.6</v>
      </c>
      <c r="H10" s="73">
        <v>16</v>
      </c>
      <c r="I10" s="74">
        <v>17</v>
      </c>
      <c r="J10" s="75">
        <v>18</v>
      </c>
      <c r="K10" s="76">
        <f t="shared" si="0"/>
        <v>1.05</v>
      </c>
      <c r="L10" s="77">
        <f t="shared" si="1"/>
        <v>1.0588235294117647</v>
      </c>
      <c r="M10" s="78">
        <f t="shared" si="2"/>
        <v>1.0333333333333334</v>
      </c>
      <c r="N10" s="62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18.75" x14ac:dyDescent="0.3">
      <c r="A11" s="62"/>
      <c r="B11" s="79" t="s">
        <v>11</v>
      </c>
      <c r="C11" s="85">
        <f>C10/C9</f>
        <v>0.86414061932938857</v>
      </c>
      <c r="D11" s="81"/>
      <c r="E11" s="82"/>
      <c r="F11" s="62"/>
      <c r="G11" s="72">
        <v>0.65</v>
      </c>
      <c r="H11" s="73">
        <v>18</v>
      </c>
      <c r="I11" s="74">
        <v>19</v>
      </c>
      <c r="J11" s="75">
        <v>20</v>
      </c>
      <c r="K11" s="76">
        <f t="shared" si="0"/>
        <v>1.0111111111111111</v>
      </c>
      <c r="L11" s="77">
        <f t="shared" si="1"/>
        <v>1.0263157894736843</v>
      </c>
      <c r="M11" s="78">
        <f t="shared" si="2"/>
        <v>1.0075000000000001</v>
      </c>
      <c r="N11" s="62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18.75" x14ac:dyDescent="0.3">
      <c r="A12" s="62"/>
      <c r="B12" s="79"/>
      <c r="C12" s="86"/>
      <c r="D12" s="81"/>
      <c r="E12" s="82"/>
      <c r="F12" s="62"/>
      <c r="G12" s="72">
        <v>0.7</v>
      </c>
      <c r="H12" s="73">
        <v>19</v>
      </c>
      <c r="I12" s="74">
        <v>21</v>
      </c>
      <c r="J12" s="75">
        <v>21</v>
      </c>
      <c r="K12" s="76">
        <f t="shared" si="0"/>
        <v>1.0315789473684209</v>
      </c>
      <c r="L12" s="77">
        <f t="shared" si="1"/>
        <v>1</v>
      </c>
      <c r="M12" s="78">
        <f t="shared" si="2"/>
        <v>1.0333333333333334</v>
      </c>
      <c r="N12" s="62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44.25" customHeight="1" x14ac:dyDescent="0.3">
      <c r="A13" s="62"/>
      <c r="B13" s="79"/>
      <c r="C13" s="87" t="s">
        <v>24</v>
      </c>
      <c r="D13" s="88" t="s">
        <v>13</v>
      </c>
      <c r="E13" s="89" t="s">
        <v>14</v>
      </c>
      <c r="F13" s="62"/>
      <c r="G13" s="72">
        <v>0.75</v>
      </c>
      <c r="H13" s="73">
        <v>21</v>
      </c>
      <c r="I13" s="74">
        <v>22</v>
      </c>
      <c r="J13" s="75">
        <v>23</v>
      </c>
      <c r="K13" s="76">
        <f t="shared" si="0"/>
        <v>1</v>
      </c>
      <c r="L13" s="77">
        <f t="shared" si="1"/>
        <v>1.0227272727272727</v>
      </c>
      <c r="M13" s="78">
        <f t="shared" si="2"/>
        <v>1.0108695652173914</v>
      </c>
      <c r="N13" s="62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18.75" x14ac:dyDescent="0.3">
      <c r="A14" s="62"/>
      <c r="B14" s="79" t="s">
        <v>15</v>
      </c>
      <c r="C14" s="90">
        <v>45387</v>
      </c>
      <c r="D14" s="91">
        <f>DATE(YEAR(C14),MONTH(C14)+1,DAY(C14)-1+10)</f>
        <v>45426</v>
      </c>
      <c r="E14" s="92">
        <f>D14-C14</f>
        <v>39</v>
      </c>
      <c r="F14" s="62"/>
      <c r="G14" s="72">
        <v>0.8</v>
      </c>
      <c r="H14" s="73">
        <v>22</v>
      </c>
      <c r="I14" s="74">
        <v>24</v>
      </c>
      <c r="J14" s="75">
        <v>24</v>
      </c>
      <c r="K14" s="76">
        <f t="shared" si="0"/>
        <v>1.0181818181818183</v>
      </c>
      <c r="L14" s="77">
        <f t="shared" si="1"/>
        <v>1</v>
      </c>
      <c r="M14" s="78">
        <f t="shared" si="2"/>
        <v>1.0333333333333334</v>
      </c>
      <c r="N14" s="62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60.75" x14ac:dyDescent="0.3">
      <c r="A15" s="62"/>
      <c r="B15" s="79"/>
      <c r="C15" s="113" t="s">
        <v>25</v>
      </c>
      <c r="D15" s="81"/>
      <c r="E15" s="94"/>
      <c r="F15" s="62"/>
      <c r="G15" s="72">
        <v>0.85</v>
      </c>
      <c r="H15" s="73">
        <v>23</v>
      </c>
      <c r="I15" s="74">
        <v>25</v>
      </c>
      <c r="J15" s="75">
        <v>26</v>
      </c>
      <c r="K15" s="76">
        <f t="shared" si="0"/>
        <v>1.0347826086956522</v>
      </c>
      <c r="L15" s="77">
        <f t="shared" si="1"/>
        <v>1.02</v>
      </c>
      <c r="M15" s="78">
        <f t="shared" si="2"/>
        <v>1.0134615384615384</v>
      </c>
      <c r="N15" s="62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21.75" customHeight="1" x14ac:dyDescent="0.3">
      <c r="A16" s="62"/>
      <c r="B16" s="79"/>
      <c r="C16" s="93"/>
      <c r="D16" s="81"/>
      <c r="E16" s="89" t="s">
        <v>16</v>
      </c>
      <c r="F16" s="62"/>
      <c r="G16" s="72">
        <v>0.9</v>
      </c>
      <c r="H16" s="73">
        <v>25</v>
      </c>
      <c r="I16" s="74">
        <v>27</v>
      </c>
      <c r="J16" s="75">
        <v>27</v>
      </c>
      <c r="K16" s="76">
        <f t="shared" si="0"/>
        <v>1.0080000000000002</v>
      </c>
      <c r="L16" s="77">
        <f t="shared" si="1"/>
        <v>1</v>
      </c>
      <c r="M16" s="78">
        <f t="shared" si="2"/>
        <v>1.0333333333333334</v>
      </c>
      <c r="N16" s="62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8.75" x14ac:dyDescent="0.3">
      <c r="A17" s="62"/>
      <c r="B17" s="83" t="s">
        <v>17</v>
      </c>
      <c r="C17" s="90">
        <v>45420</v>
      </c>
      <c r="D17" s="95" t="str">
        <f>IF(C17&lt;=D14,"Tepat Waktu","Terlambat")</f>
        <v>Tepat Waktu</v>
      </c>
      <c r="E17" s="92">
        <f>C17-C14</f>
        <v>33</v>
      </c>
      <c r="F17" s="62"/>
      <c r="G17" s="72">
        <v>0.95</v>
      </c>
      <c r="H17" s="73">
        <v>26</v>
      </c>
      <c r="I17" s="74">
        <v>28</v>
      </c>
      <c r="J17" s="75">
        <v>29</v>
      </c>
      <c r="K17" s="76">
        <f t="shared" si="0"/>
        <v>1.023076923076923</v>
      </c>
      <c r="L17" s="77">
        <f t="shared" si="1"/>
        <v>1.0178571428571428</v>
      </c>
      <c r="M17" s="78">
        <f t="shared" si="2"/>
        <v>1.0155172413793103</v>
      </c>
      <c r="N17" s="62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18.75" x14ac:dyDescent="0.3">
      <c r="A18" s="62"/>
      <c r="B18" s="79"/>
      <c r="C18" s="93"/>
      <c r="D18" s="81"/>
      <c r="E18" s="82"/>
      <c r="F18" s="62"/>
      <c r="G18" s="72">
        <v>1</v>
      </c>
      <c r="H18" s="73">
        <v>28</v>
      </c>
      <c r="I18" s="74">
        <v>30</v>
      </c>
      <c r="J18" s="75">
        <v>31</v>
      </c>
      <c r="K18" s="76">
        <f t="shared" si="0"/>
        <v>1</v>
      </c>
      <c r="L18" s="77">
        <f t="shared" si="1"/>
        <v>1</v>
      </c>
      <c r="M18" s="78">
        <f t="shared" si="2"/>
        <v>1</v>
      </c>
      <c r="N18" s="62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36" customHeight="1" x14ac:dyDescent="0.25">
      <c r="A19" s="62"/>
      <c r="B19" s="96" t="s">
        <v>18</v>
      </c>
      <c r="C19" s="97">
        <f>C11*(E14/E17)</f>
        <v>1.0212570955710956</v>
      </c>
      <c r="D19" s="114" t="str">
        <f>IF(C19&lt;100%,"UBAH Tanggal Rencana GUP (SP2D) LEBIH CEPAT ATAU Nilai Rencana GUP DITAMBAHKAN","OKE")</f>
        <v>OKE</v>
      </c>
      <c r="E19" s="115"/>
      <c r="F19" s="62"/>
      <c r="G19" s="98"/>
      <c r="H19" s="98"/>
      <c r="I19" s="98"/>
      <c r="J19" s="98"/>
      <c r="K19" s="99"/>
      <c r="L19" s="99"/>
      <c r="M19" s="99"/>
      <c r="N19" s="62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21.75" customHeight="1" thickBot="1" x14ac:dyDescent="0.35">
      <c r="A20" s="62"/>
      <c r="B20" s="100"/>
      <c r="C20" s="101" t="str">
        <f>IF(C19&gt;=100%,"MAKSIMAL NILAI ADALAH 100%","-")</f>
        <v>MAKSIMAL NILAI ADALAH 100%</v>
      </c>
      <c r="D20" s="102"/>
      <c r="E20" s="103"/>
      <c r="F20" s="62"/>
      <c r="G20" s="98"/>
      <c r="H20" s="98"/>
      <c r="I20" s="98"/>
      <c r="J20" s="98"/>
      <c r="K20" s="98"/>
      <c r="L20" s="98"/>
      <c r="M20" s="98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x14ac:dyDescent="0.25">
      <c r="A21" s="62"/>
      <c r="B21" s="62"/>
      <c r="C21" s="98"/>
      <c r="D21" s="62"/>
      <c r="E21" s="62"/>
      <c r="F21" s="62"/>
      <c r="G21" s="98"/>
      <c r="H21" s="98"/>
      <c r="I21" s="98"/>
      <c r="J21" s="98"/>
      <c r="K21" s="98"/>
      <c r="L21" s="98"/>
      <c r="M21" s="98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x14ac:dyDescent="0.25">
      <c r="A22" s="62"/>
      <c r="B22" s="104" t="s">
        <v>19</v>
      </c>
      <c r="C22" s="105"/>
      <c r="D22" s="106"/>
      <c r="E22" s="106"/>
      <c r="F22" s="107"/>
      <c r="G22" s="108"/>
      <c r="H22" s="98"/>
      <c r="I22" s="98"/>
      <c r="J22" s="98"/>
      <c r="K22" s="98"/>
      <c r="L22" s="98"/>
      <c r="M22" s="98"/>
      <c r="N22" s="62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15.75" customHeight="1" x14ac:dyDescent="0.25">
      <c r="A23" s="62"/>
      <c r="B23" s="106" t="s">
        <v>20</v>
      </c>
      <c r="C23" s="105"/>
      <c r="D23" s="106"/>
      <c r="E23" s="106"/>
      <c r="F23" s="107"/>
      <c r="G23" s="108"/>
      <c r="H23" s="98"/>
      <c r="I23" s="98"/>
      <c r="J23" s="98"/>
      <c r="K23" s="98"/>
      <c r="L23" s="98"/>
      <c r="M23" s="98"/>
      <c r="N23" s="62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15.75" customHeight="1" x14ac:dyDescent="0.25">
      <c r="A24" s="62"/>
      <c r="B24" s="106" t="s">
        <v>21</v>
      </c>
      <c r="C24" s="105"/>
      <c r="D24" s="106"/>
      <c r="E24" s="106"/>
      <c r="F24" s="107"/>
      <c r="G24" s="108"/>
      <c r="H24" s="98"/>
      <c r="I24" s="98"/>
      <c r="J24" s="98"/>
      <c r="K24" s="98"/>
      <c r="L24" s="98"/>
      <c r="M24" s="98"/>
      <c r="N24" s="62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15.75" customHeight="1" x14ac:dyDescent="0.25">
      <c r="A25" s="62"/>
      <c r="B25" s="106" t="s">
        <v>22</v>
      </c>
      <c r="C25" s="105"/>
      <c r="D25" s="106"/>
      <c r="E25" s="106"/>
      <c r="F25" s="107"/>
      <c r="G25" s="108"/>
      <c r="H25" s="98"/>
      <c r="I25" s="98"/>
      <c r="J25" s="98"/>
      <c r="K25" s="98"/>
      <c r="L25" s="98"/>
      <c r="M25" s="98"/>
      <c r="N25" s="62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24.75" customHeight="1" x14ac:dyDescent="0.25">
      <c r="A26" s="109"/>
      <c r="B26" s="116" t="s">
        <v>23</v>
      </c>
      <c r="C26" s="117"/>
      <c r="D26" s="117"/>
      <c r="E26" s="117"/>
      <c r="F26" s="110"/>
      <c r="G26" s="110"/>
      <c r="H26" s="111"/>
      <c r="I26" s="111"/>
      <c r="J26" s="111"/>
      <c r="K26" s="111"/>
      <c r="L26" s="111"/>
      <c r="M26" s="111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spans="1:26" ht="15.75" hidden="1" customHeight="1" x14ac:dyDescent="0.25">
      <c r="A27" s="63"/>
      <c r="B27" s="63"/>
      <c r="C27" s="112"/>
      <c r="D27" s="63"/>
      <c r="E27" s="63"/>
      <c r="F27" s="63"/>
      <c r="G27" s="112"/>
      <c r="H27" s="112"/>
      <c r="I27" s="112"/>
      <c r="J27" s="112"/>
      <c r="K27" s="112"/>
      <c r="L27" s="112"/>
      <c r="M27" s="112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15.75" hidden="1" customHeight="1" x14ac:dyDescent="0.25">
      <c r="A28" s="63"/>
      <c r="B28" s="63"/>
      <c r="C28" s="112"/>
      <c r="D28" s="63"/>
      <c r="E28" s="63"/>
      <c r="F28" s="63"/>
      <c r="G28" s="112"/>
      <c r="H28" s="112"/>
      <c r="I28" s="112"/>
      <c r="J28" s="112"/>
      <c r="K28" s="112"/>
      <c r="L28" s="112"/>
      <c r="M28" s="112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15.75" hidden="1" customHeight="1" x14ac:dyDescent="0.25">
      <c r="A29" s="63"/>
      <c r="B29" s="63"/>
      <c r="C29" s="112"/>
      <c r="D29" s="63"/>
      <c r="E29" s="63"/>
      <c r="F29" s="63"/>
      <c r="G29" s="112"/>
      <c r="H29" s="112"/>
      <c r="I29" s="112"/>
      <c r="J29" s="112"/>
      <c r="K29" s="112"/>
      <c r="L29" s="112"/>
      <c r="M29" s="112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15.75" hidden="1" customHeight="1" x14ac:dyDescent="0.25">
      <c r="A30" s="63"/>
      <c r="B30" s="63"/>
      <c r="C30" s="112"/>
      <c r="D30" s="63"/>
      <c r="E30" s="63"/>
      <c r="F30" s="63"/>
      <c r="G30" s="112"/>
      <c r="H30" s="112"/>
      <c r="I30" s="112"/>
      <c r="J30" s="112"/>
      <c r="K30" s="112"/>
      <c r="L30" s="112"/>
      <c r="M30" s="112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15.75" hidden="1" customHeight="1" x14ac:dyDescent="0.25">
      <c r="A31" s="63"/>
      <c r="B31" s="63"/>
      <c r="C31" s="112"/>
      <c r="D31" s="63"/>
      <c r="E31" s="63"/>
      <c r="F31" s="63"/>
      <c r="G31" s="112"/>
      <c r="H31" s="112"/>
      <c r="I31" s="112"/>
      <c r="J31" s="112"/>
      <c r="K31" s="112"/>
      <c r="L31" s="112"/>
      <c r="M31" s="112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15.75" hidden="1" customHeight="1" x14ac:dyDescent="0.25">
      <c r="A32" s="63"/>
      <c r="B32" s="63"/>
      <c r="C32" s="112"/>
      <c r="D32" s="63"/>
      <c r="E32" s="63"/>
      <c r="F32" s="63"/>
      <c r="G32" s="112"/>
      <c r="H32" s="112"/>
      <c r="I32" s="112"/>
      <c r="J32" s="112"/>
      <c r="K32" s="112"/>
      <c r="L32" s="112"/>
      <c r="M32" s="112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15.75" hidden="1" customHeight="1" x14ac:dyDescent="0.25">
      <c r="A33" s="63"/>
      <c r="B33" s="63"/>
      <c r="C33" s="112"/>
      <c r="D33" s="63"/>
      <c r="E33" s="63"/>
      <c r="F33" s="63"/>
      <c r="G33" s="112"/>
      <c r="H33" s="112"/>
      <c r="I33" s="112"/>
      <c r="J33" s="112"/>
      <c r="K33" s="112"/>
      <c r="L33" s="112"/>
      <c r="M33" s="112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15.75" hidden="1" customHeight="1" x14ac:dyDescent="0.25">
      <c r="A34" s="63"/>
      <c r="B34" s="63"/>
      <c r="C34" s="112"/>
      <c r="D34" s="63"/>
      <c r="E34" s="63"/>
      <c r="F34" s="63"/>
      <c r="G34" s="112"/>
      <c r="H34" s="112"/>
      <c r="I34" s="112"/>
      <c r="J34" s="112"/>
      <c r="K34" s="112"/>
      <c r="L34" s="112"/>
      <c r="M34" s="112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15.75" hidden="1" customHeight="1" x14ac:dyDescent="0.25">
      <c r="A35" s="63"/>
      <c r="B35" s="63"/>
      <c r="C35" s="112"/>
      <c r="D35" s="63"/>
      <c r="E35" s="63"/>
      <c r="F35" s="63"/>
      <c r="G35" s="112"/>
      <c r="H35" s="112"/>
      <c r="I35" s="112"/>
      <c r="J35" s="112"/>
      <c r="K35" s="112"/>
      <c r="L35" s="112"/>
      <c r="M35" s="112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15.75" hidden="1" customHeight="1" x14ac:dyDescent="0.25">
      <c r="A36" s="63"/>
      <c r="B36" s="63"/>
      <c r="C36" s="112"/>
      <c r="D36" s="63"/>
      <c r="E36" s="63"/>
      <c r="F36" s="63"/>
      <c r="G36" s="112"/>
      <c r="H36" s="112"/>
      <c r="I36" s="112"/>
      <c r="J36" s="112"/>
      <c r="K36" s="112"/>
      <c r="L36" s="112"/>
      <c r="M36" s="112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15.75" hidden="1" customHeight="1" x14ac:dyDescent="0.25">
      <c r="A37" s="63"/>
      <c r="B37" s="63"/>
      <c r="C37" s="112"/>
      <c r="D37" s="63"/>
      <c r="E37" s="63"/>
      <c r="F37" s="63"/>
      <c r="G37" s="112"/>
      <c r="H37" s="112"/>
      <c r="I37" s="112"/>
      <c r="J37" s="112"/>
      <c r="K37" s="112"/>
      <c r="L37" s="112"/>
      <c r="M37" s="112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15.75" hidden="1" customHeight="1" x14ac:dyDescent="0.25">
      <c r="A38" s="63"/>
      <c r="B38" s="63"/>
      <c r="C38" s="112"/>
      <c r="D38" s="63"/>
      <c r="E38" s="63"/>
      <c r="F38" s="63"/>
      <c r="G38" s="112"/>
      <c r="H38" s="112"/>
      <c r="I38" s="112"/>
      <c r="J38" s="112"/>
      <c r="K38" s="112"/>
      <c r="L38" s="112"/>
      <c r="M38" s="112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15.75" hidden="1" customHeight="1" x14ac:dyDescent="0.25">
      <c r="A39" s="63"/>
      <c r="B39" s="63"/>
      <c r="C39" s="112"/>
      <c r="D39" s="63"/>
      <c r="E39" s="63"/>
      <c r="F39" s="63"/>
      <c r="G39" s="112"/>
      <c r="H39" s="112"/>
      <c r="I39" s="112"/>
      <c r="J39" s="112"/>
      <c r="K39" s="112"/>
      <c r="L39" s="112"/>
      <c r="M39" s="112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15.75" hidden="1" customHeight="1" x14ac:dyDescent="0.25">
      <c r="A40" s="63"/>
      <c r="B40" s="63"/>
      <c r="C40" s="112"/>
      <c r="D40" s="63"/>
      <c r="E40" s="63"/>
      <c r="F40" s="63"/>
      <c r="G40" s="112"/>
      <c r="H40" s="112"/>
      <c r="I40" s="112"/>
      <c r="J40" s="112"/>
      <c r="K40" s="112"/>
      <c r="L40" s="112"/>
      <c r="M40" s="112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15.75" hidden="1" customHeight="1" x14ac:dyDescent="0.25">
      <c r="A41" s="63"/>
      <c r="B41" s="63"/>
      <c r="C41" s="112"/>
      <c r="D41" s="63"/>
      <c r="E41" s="63"/>
      <c r="F41" s="63"/>
      <c r="G41" s="112"/>
      <c r="H41" s="112"/>
      <c r="I41" s="112"/>
      <c r="J41" s="112"/>
      <c r="K41" s="112"/>
      <c r="L41" s="112"/>
      <c r="M41" s="112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15.75" hidden="1" customHeight="1" x14ac:dyDescent="0.25">
      <c r="A42" s="63"/>
      <c r="B42" s="63"/>
      <c r="C42" s="112"/>
      <c r="D42" s="63"/>
      <c r="E42" s="63"/>
      <c r="F42" s="63"/>
      <c r="G42" s="112"/>
      <c r="H42" s="112"/>
      <c r="I42" s="112"/>
      <c r="J42" s="112"/>
      <c r="K42" s="112"/>
      <c r="L42" s="112"/>
      <c r="M42" s="112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15.75" hidden="1" customHeight="1" x14ac:dyDescent="0.25">
      <c r="A43" s="63"/>
      <c r="B43" s="63"/>
      <c r="C43" s="112"/>
      <c r="D43" s="63"/>
      <c r="E43" s="63"/>
      <c r="F43" s="63"/>
      <c r="G43" s="112"/>
      <c r="H43" s="112"/>
      <c r="I43" s="112"/>
      <c r="J43" s="112"/>
      <c r="K43" s="112"/>
      <c r="L43" s="112"/>
      <c r="M43" s="112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15.75" hidden="1" customHeight="1" x14ac:dyDescent="0.25">
      <c r="A44" s="63"/>
      <c r="B44" s="63"/>
      <c r="C44" s="112"/>
      <c r="D44" s="63"/>
      <c r="E44" s="63"/>
      <c r="F44" s="63"/>
      <c r="G44" s="112"/>
      <c r="H44" s="112"/>
      <c r="I44" s="112"/>
      <c r="J44" s="112"/>
      <c r="K44" s="112"/>
      <c r="L44" s="112"/>
      <c r="M44" s="112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15.75" hidden="1" customHeight="1" x14ac:dyDescent="0.25">
      <c r="A45" s="63"/>
      <c r="B45" s="63"/>
      <c r="C45" s="112"/>
      <c r="D45" s="63"/>
      <c r="E45" s="63"/>
      <c r="F45" s="63"/>
      <c r="G45" s="112"/>
      <c r="H45" s="112"/>
      <c r="I45" s="112"/>
      <c r="J45" s="112"/>
      <c r="K45" s="112"/>
      <c r="L45" s="112"/>
      <c r="M45" s="112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15.75" hidden="1" customHeight="1" x14ac:dyDescent="0.25">
      <c r="A46" s="63"/>
      <c r="B46" s="63"/>
      <c r="C46" s="112"/>
      <c r="D46" s="63"/>
      <c r="E46" s="63"/>
      <c r="F46" s="63"/>
      <c r="G46" s="112"/>
      <c r="H46" s="112"/>
      <c r="I46" s="112"/>
      <c r="J46" s="112"/>
      <c r="K46" s="112"/>
      <c r="L46" s="112"/>
      <c r="M46" s="112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15.75" hidden="1" customHeight="1" x14ac:dyDescent="0.25">
      <c r="A47" s="63"/>
      <c r="B47" s="63"/>
      <c r="C47" s="112"/>
      <c r="D47" s="63"/>
      <c r="E47" s="63"/>
      <c r="F47" s="63"/>
      <c r="G47" s="112"/>
      <c r="H47" s="112"/>
      <c r="I47" s="112"/>
      <c r="J47" s="112"/>
      <c r="K47" s="112"/>
      <c r="L47" s="112"/>
      <c r="M47" s="112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15.75" hidden="1" customHeight="1" x14ac:dyDescent="0.25">
      <c r="A48" s="63"/>
      <c r="B48" s="63"/>
      <c r="C48" s="112"/>
      <c r="D48" s="63"/>
      <c r="E48" s="63"/>
      <c r="F48" s="63"/>
      <c r="G48" s="112"/>
      <c r="H48" s="112"/>
      <c r="I48" s="112"/>
      <c r="J48" s="112"/>
      <c r="K48" s="112"/>
      <c r="L48" s="112"/>
      <c r="M48" s="112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15.75" hidden="1" customHeight="1" x14ac:dyDescent="0.25">
      <c r="A49" s="63"/>
      <c r="B49" s="63"/>
      <c r="C49" s="112"/>
      <c r="D49" s="63"/>
      <c r="E49" s="63"/>
      <c r="F49" s="63"/>
      <c r="G49" s="112"/>
      <c r="H49" s="112"/>
      <c r="I49" s="112"/>
      <c r="J49" s="112"/>
      <c r="K49" s="112"/>
      <c r="L49" s="112"/>
      <c r="M49" s="112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15.75" hidden="1" customHeight="1" x14ac:dyDescent="0.25">
      <c r="A50" s="63"/>
      <c r="B50" s="63"/>
      <c r="C50" s="112"/>
      <c r="D50" s="63"/>
      <c r="E50" s="63"/>
      <c r="F50" s="63"/>
      <c r="G50" s="112"/>
      <c r="H50" s="112"/>
      <c r="I50" s="112"/>
      <c r="J50" s="112"/>
      <c r="K50" s="112"/>
      <c r="L50" s="112"/>
      <c r="M50" s="112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15.75" hidden="1" customHeight="1" x14ac:dyDescent="0.25">
      <c r="A51" s="63"/>
      <c r="B51" s="63"/>
      <c r="C51" s="112"/>
      <c r="D51" s="63"/>
      <c r="E51" s="63"/>
      <c r="F51" s="63"/>
      <c r="G51" s="112"/>
      <c r="H51" s="112"/>
      <c r="I51" s="112"/>
      <c r="J51" s="112"/>
      <c r="K51" s="112"/>
      <c r="L51" s="112"/>
      <c r="M51" s="112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15.75" hidden="1" customHeight="1" x14ac:dyDescent="0.25">
      <c r="A52" s="63"/>
      <c r="B52" s="63"/>
      <c r="C52" s="112"/>
      <c r="D52" s="63"/>
      <c r="E52" s="63"/>
      <c r="F52" s="63"/>
      <c r="G52" s="112"/>
      <c r="H52" s="112"/>
      <c r="I52" s="112"/>
      <c r="J52" s="112"/>
      <c r="K52" s="112"/>
      <c r="L52" s="112"/>
      <c r="M52" s="112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15.75" hidden="1" customHeight="1" x14ac:dyDescent="0.25">
      <c r="A53" s="63"/>
      <c r="B53" s="63"/>
      <c r="C53" s="112"/>
      <c r="D53" s="63"/>
      <c r="E53" s="63"/>
      <c r="F53" s="63"/>
      <c r="G53" s="112"/>
      <c r="H53" s="112"/>
      <c r="I53" s="112"/>
      <c r="J53" s="112"/>
      <c r="K53" s="112"/>
      <c r="L53" s="112"/>
      <c r="M53" s="112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15.75" hidden="1" customHeight="1" x14ac:dyDescent="0.25">
      <c r="A54" s="63"/>
      <c r="B54" s="63"/>
      <c r="C54" s="112"/>
      <c r="D54" s="63"/>
      <c r="E54" s="63"/>
      <c r="F54" s="63"/>
      <c r="G54" s="112"/>
      <c r="H54" s="112"/>
      <c r="I54" s="112"/>
      <c r="J54" s="112"/>
      <c r="K54" s="112"/>
      <c r="L54" s="112"/>
      <c r="M54" s="112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15.75" hidden="1" customHeight="1" x14ac:dyDescent="0.25">
      <c r="A55" s="63"/>
      <c r="B55" s="63"/>
      <c r="C55" s="112"/>
      <c r="D55" s="63"/>
      <c r="E55" s="63"/>
      <c r="F55" s="63"/>
      <c r="G55" s="112"/>
      <c r="H55" s="112"/>
      <c r="I55" s="112"/>
      <c r="J55" s="112"/>
      <c r="K55" s="112"/>
      <c r="L55" s="112"/>
      <c r="M55" s="112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15.75" hidden="1" customHeight="1" x14ac:dyDescent="0.25">
      <c r="A56" s="63"/>
      <c r="B56" s="63"/>
      <c r="C56" s="112"/>
      <c r="D56" s="63"/>
      <c r="E56" s="63"/>
      <c r="F56" s="63"/>
      <c r="G56" s="112"/>
      <c r="H56" s="112"/>
      <c r="I56" s="112"/>
      <c r="J56" s="112"/>
      <c r="K56" s="112"/>
      <c r="L56" s="112"/>
      <c r="M56" s="112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15.75" hidden="1" customHeight="1" x14ac:dyDescent="0.25">
      <c r="A57" s="63"/>
      <c r="B57" s="63"/>
      <c r="C57" s="112"/>
      <c r="D57" s="63"/>
      <c r="E57" s="63"/>
      <c r="F57" s="63"/>
      <c r="G57" s="112"/>
      <c r="H57" s="112"/>
      <c r="I57" s="112"/>
      <c r="J57" s="112"/>
      <c r="K57" s="112"/>
      <c r="L57" s="112"/>
      <c r="M57" s="112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15.75" hidden="1" customHeight="1" x14ac:dyDescent="0.25">
      <c r="A58" s="63"/>
      <c r="B58" s="63"/>
      <c r="C58" s="112"/>
      <c r="D58" s="63"/>
      <c r="E58" s="63"/>
      <c r="F58" s="63"/>
      <c r="G58" s="112"/>
      <c r="H58" s="112"/>
      <c r="I58" s="112"/>
      <c r="J58" s="112"/>
      <c r="K58" s="112"/>
      <c r="L58" s="112"/>
      <c r="M58" s="112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pans="1:26" ht="15.75" hidden="1" customHeight="1" x14ac:dyDescent="0.25">
      <c r="A59" s="63"/>
      <c r="B59" s="63"/>
      <c r="C59" s="112"/>
      <c r="D59" s="63"/>
      <c r="E59" s="63"/>
      <c r="F59" s="63"/>
      <c r="G59" s="112"/>
      <c r="H59" s="112"/>
      <c r="I59" s="112"/>
      <c r="J59" s="112"/>
      <c r="K59" s="112"/>
      <c r="L59" s="112"/>
      <c r="M59" s="112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pans="1:26" ht="15.75" hidden="1" customHeight="1" x14ac:dyDescent="0.25">
      <c r="A60" s="63"/>
      <c r="B60" s="63"/>
      <c r="C60" s="112"/>
      <c r="D60" s="63"/>
      <c r="E60" s="63"/>
      <c r="F60" s="63"/>
      <c r="G60" s="112"/>
      <c r="H60" s="112"/>
      <c r="I60" s="112"/>
      <c r="J60" s="112"/>
      <c r="K60" s="112"/>
      <c r="L60" s="112"/>
      <c r="M60" s="112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5.75" hidden="1" customHeight="1" x14ac:dyDescent="0.25">
      <c r="A61" s="63"/>
      <c r="B61" s="63"/>
      <c r="C61" s="112"/>
      <c r="D61" s="63"/>
      <c r="E61" s="63"/>
      <c r="F61" s="63"/>
      <c r="G61" s="112"/>
      <c r="H61" s="112"/>
      <c r="I61" s="112"/>
      <c r="J61" s="112"/>
      <c r="K61" s="112"/>
      <c r="L61" s="112"/>
      <c r="M61" s="112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ht="15.75" hidden="1" customHeight="1" x14ac:dyDescent="0.25">
      <c r="A62" s="63"/>
      <c r="B62" s="63"/>
      <c r="C62" s="112"/>
      <c r="D62" s="63"/>
      <c r="E62" s="63"/>
      <c r="F62" s="63"/>
      <c r="G62" s="112"/>
      <c r="H62" s="112"/>
      <c r="I62" s="112"/>
      <c r="J62" s="112"/>
      <c r="K62" s="112"/>
      <c r="L62" s="112"/>
      <c r="M62" s="112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pans="1:26" ht="15.75" hidden="1" customHeight="1" x14ac:dyDescent="0.25">
      <c r="A63" s="63"/>
      <c r="B63" s="63"/>
      <c r="C63" s="112"/>
      <c r="D63" s="63"/>
      <c r="E63" s="63"/>
      <c r="F63" s="63"/>
      <c r="G63" s="112"/>
      <c r="H63" s="112"/>
      <c r="I63" s="112"/>
      <c r="J63" s="112"/>
      <c r="K63" s="112"/>
      <c r="L63" s="112"/>
      <c r="M63" s="112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pans="1:26" ht="15.75" hidden="1" customHeight="1" x14ac:dyDescent="0.25">
      <c r="A64" s="63"/>
      <c r="B64" s="63"/>
      <c r="C64" s="112"/>
      <c r="D64" s="63"/>
      <c r="E64" s="63"/>
      <c r="F64" s="63"/>
      <c r="G64" s="112"/>
      <c r="H64" s="112"/>
      <c r="I64" s="112"/>
      <c r="J64" s="112"/>
      <c r="K64" s="112"/>
      <c r="L64" s="112"/>
      <c r="M64" s="112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pans="1:26" ht="15.75" hidden="1" customHeight="1" x14ac:dyDescent="0.25">
      <c r="A65" s="63"/>
      <c r="B65" s="63"/>
      <c r="C65" s="112"/>
      <c r="D65" s="63"/>
      <c r="E65" s="63"/>
      <c r="F65" s="63"/>
      <c r="G65" s="112"/>
      <c r="H65" s="112"/>
      <c r="I65" s="112"/>
      <c r="J65" s="112"/>
      <c r="K65" s="112"/>
      <c r="L65" s="112"/>
      <c r="M65" s="112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pans="1:26" ht="15.75" hidden="1" customHeight="1" x14ac:dyDescent="0.25">
      <c r="A66" s="63"/>
      <c r="B66" s="63"/>
      <c r="C66" s="112"/>
      <c r="D66" s="63"/>
      <c r="E66" s="63"/>
      <c r="F66" s="63"/>
      <c r="G66" s="112"/>
      <c r="H66" s="112"/>
      <c r="I66" s="112"/>
      <c r="J66" s="112"/>
      <c r="K66" s="112"/>
      <c r="L66" s="112"/>
      <c r="M66" s="112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pans="1:26" ht="15.75" hidden="1" customHeight="1" x14ac:dyDescent="0.25">
      <c r="A67" s="63"/>
      <c r="B67" s="63"/>
      <c r="C67" s="112"/>
      <c r="D67" s="63"/>
      <c r="E67" s="63"/>
      <c r="F67" s="63"/>
      <c r="G67" s="112"/>
      <c r="H67" s="112"/>
      <c r="I67" s="112"/>
      <c r="J67" s="112"/>
      <c r="K67" s="112"/>
      <c r="L67" s="112"/>
      <c r="M67" s="112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6" ht="15.75" hidden="1" customHeight="1" x14ac:dyDescent="0.25">
      <c r="A68" s="63"/>
      <c r="B68" s="63"/>
      <c r="C68" s="112"/>
      <c r="D68" s="63"/>
      <c r="E68" s="63"/>
      <c r="F68" s="63"/>
      <c r="G68" s="112"/>
      <c r="H68" s="112"/>
      <c r="I68" s="112"/>
      <c r="J68" s="112"/>
      <c r="K68" s="112"/>
      <c r="L68" s="112"/>
      <c r="M68" s="112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pans="1:26" ht="15.75" hidden="1" customHeight="1" x14ac:dyDescent="0.25">
      <c r="A69" s="63"/>
      <c r="B69" s="63"/>
      <c r="C69" s="112"/>
      <c r="D69" s="63"/>
      <c r="E69" s="63"/>
      <c r="F69" s="63"/>
      <c r="G69" s="112"/>
      <c r="H69" s="112"/>
      <c r="I69" s="112"/>
      <c r="J69" s="112"/>
      <c r="K69" s="112"/>
      <c r="L69" s="112"/>
      <c r="M69" s="112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pans="1:26" ht="15.75" hidden="1" customHeight="1" x14ac:dyDescent="0.25">
      <c r="A70" s="63"/>
      <c r="B70" s="63"/>
      <c r="C70" s="112"/>
      <c r="D70" s="63"/>
      <c r="E70" s="63"/>
      <c r="F70" s="63"/>
      <c r="G70" s="112"/>
      <c r="H70" s="112"/>
      <c r="I70" s="112"/>
      <c r="J70" s="112"/>
      <c r="K70" s="112"/>
      <c r="L70" s="112"/>
      <c r="M70" s="112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pans="1:26" ht="15.75" hidden="1" customHeight="1" x14ac:dyDescent="0.25">
      <c r="A71" s="63"/>
      <c r="B71" s="63"/>
      <c r="C71" s="112"/>
      <c r="D71" s="63"/>
      <c r="E71" s="63"/>
      <c r="F71" s="63"/>
      <c r="G71" s="112"/>
      <c r="H71" s="112"/>
      <c r="I71" s="112"/>
      <c r="J71" s="112"/>
      <c r="K71" s="112"/>
      <c r="L71" s="112"/>
      <c r="M71" s="112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spans="1:26" ht="15.75" hidden="1" customHeight="1" x14ac:dyDescent="0.25">
      <c r="A72" s="63"/>
      <c r="B72" s="63"/>
      <c r="C72" s="112"/>
      <c r="D72" s="63"/>
      <c r="E72" s="63"/>
      <c r="F72" s="63"/>
      <c r="G72" s="112"/>
      <c r="H72" s="112"/>
      <c r="I72" s="112"/>
      <c r="J72" s="112"/>
      <c r="K72" s="112"/>
      <c r="L72" s="112"/>
      <c r="M72" s="112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spans="1:26" ht="15.75" hidden="1" customHeight="1" x14ac:dyDescent="0.25">
      <c r="A73" s="63"/>
      <c r="B73" s="63"/>
      <c r="C73" s="112"/>
      <c r="D73" s="63"/>
      <c r="E73" s="63"/>
      <c r="F73" s="63"/>
      <c r="G73" s="112"/>
      <c r="H73" s="112"/>
      <c r="I73" s="112"/>
      <c r="J73" s="112"/>
      <c r="K73" s="112"/>
      <c r="L73" s="112"/>
      <c r="M73" s="112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spans="1:26" ht="15.75" hidden="1" customHeight="1" x14ac:dyDescent="0.25">
      <c r="A74" s="63"/>
      <c r="B74" s="63"/>
      <c r="C74" s="112"/>
      <c r="D74" s="63"/>
      <c r="E74" s="63"/>
      <c r="F74" s="63"/>
      <c r="G74" s="112"/>
      <c r="H74" s="112"/>
      <c r="I74" s="112"/>
      <c r="J74" s="112"/>
      <c r="K74" s="112"/>
      <c r="L74" s="112"/>
      <c r="M74" s="112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pans="1:26" ht="15.75" hidden="1" customHeight="1" x14ac:dyDescent="0.25">
      <c r="A75" s="63"/>
      <c r="B75" s="63"/>
      <c r="C75" s="112"/>
      <c r="D75" s="63"/>
      <c r="E75" s="63"/>
      <c r="F75" s="63"/>
      <c r="G75" s="112"/>
      <c r="H75" s="112"/>
      <c r="I75" s="112"/>
      <c r="J75" s="112"/>
      <c r="K75" s="112"/>
      <c r="L75" s="112"/>
      <c r="M75" s="112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spans="1:26" ht="15.75" hidden="1" customHeight="1" x14ac:dyDescent="0.25">
      <c r="A76" s="63"/>
      <c r="B76" s="63"/>
      <c r="C76" s="112"/>
      <c r="D76" s="63"/>
      <c r="E76" s="63"/>
      <c r="F76" s="63"/>
      <c r="G76" s="112"/>
      <c r="H76" s="112"/>
      <c r="I76" s="112"/>
      <c r="J76" s="112"/>
      <c r="K76" s="112"/>
      <c r="L76" s="112"/>
      <c r="M76" s="112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spans="1:26" ht="15.75" hidden="1" customHeight="1" x14ac:dyDescent="0.25">
      <c r="A77" s="63"/>
      <c r="B77" s="63"/>
      <c r="C77" s="112"/>
      <c r="D77" s="63"/>
      <c r="E77" s="63"/>
      <c r="F77" s="63"/>
      <c r="G77" s="112"/>
      <c r="H77" s="112"/>
      <c r="I77" s="112"/>
      <c r="J77" s="112"/>
      <c r="K77" s="112"/>
      <c r="L77" s="112"/>
      <c r="M77" s="112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pans="1:26" ht="15.75" hidden="1" customHeight="1" x14ac:dyDescent="0.25">
      <c r="A78" s="63"/>
      <c r="B78" s="63"/>
      <c r="C78" s="112"/>
      <c r="D78" s="63"/>
      <c r="E78" s="63"/>
      <c r="F78" s="63"/>
      <c r="G78" s="112"/>
      <c r="H78" s="112"/>
      <c r="I78" s="112"/>
      <c r="J78" s="112"/>
      <c r="K78" s="112"/>
      <c r="L78" s="112"/>
      <c r="M78" s="112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spans="1:26" ht="15.75" hidden="1" customHeight="1" x14ac:dyDescent="0.25">
      <c r="A79" s="63"/>
      <c r="B79" s="63"/>
      <c r="C79" s="112"/>
      <c r="D79" s="63"/>
      <c r="E79" s="63"/>
      <c r="F79" s="63"/>
      <c r="G79" s="112"/>
      <c r="H79" s="112"/>
      <c r="I79" s="112"/>
      <c r="J79" s="112"/>
      <c r="K79" s="112"/>
      <c r="L79" s="112"/>
      <c r="M79" s="112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spans="1:26" ht="15.75" hidden="1" customHeight="1" x14ac:dyDescent="0.25">
      <c r="A80" s="63"/>
      <c r="B80" s="63"/>
      <c r="C80" s="112"/>
      <c r="D80" s="63"/>
      <c r="E80" s="63"/>
      <c r="F80" s="63"/>
      <c r="G80" s="112"/>
      <c r="H80" s="112"/>
      <c r="I80" s="112"/>
      <c r="J80" s="112"/>
      <c r="K80" s="112"/>
      <c r="L80" s="112"/>
      <c r="M80" s="112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pans="1:26" ht="15.75" hidden="1" customHeight="1" x14ac:dyDescent="0.25">
      <c r="A81" s="63"/>
      <c r="B81" s="63"/>
      <c r="C81" s="112"/>
      <c r="D81" s="63"/>
      <c r="E81" s="63"/>
      <c r="F81" s="63"/>
      <c r="G81" s="112"/>
      <c r="H81" s="112"/>
      <c r="I81" s="112"/>
      <c r="J81" s="112"/>
      <c r="K81" s="112"/>
      <c r="L81" s="112"/>
      <c r="M81" s="112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pans="1:26" ht="15.75" hidden="1" customHeight="1" x14ac:dyDescent="0.25">
      <c r="A82" s="63"/>
      <c r="B82" s="63"/>
      <c r="C82" s="112"/>
      <c r="D82" s="63"/>
      <c r="E82" s="63"/>
      <c r="F82" s="63"/>
      <c r="G82" s="112"/>
      <c r="H82" s="112"/>
      <c r="I82" s="112"/>
      <c r="J82" s="112"/>
      <c r="K82" s="112"/>
      <c r="L82" s="112"/>
      <c r="M82" s="112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5.75" hidden="1" customHeight="1" x14ac:dyDescent="0.25">
      <c r="A83" s="63"/>
      <c r="B83" s="63"/>
      <c r="C83" s="112"/>
      <c r="D83" s="63"/>
      <c r="E83" s="63"/>
      <c r="F83" s="63"/>
      <c r="G83" s="112"/>
      <c r="H83" s="112"/>
      <c r="I83" s="112"/>
      <c r="J83" s="112"/>
      <c r="K83" s="112"/>
      <c r="L83" s="112"/>
      <c r="M83" s="112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6" ht="15.75" hidden="1" customHeight="1" x14ac:dyDescent="0.25">
      <c r="A84" s="63"/>
      <c r="B84" s="63"/>
      <c r="C84" s="112"/>
      <c r="D84" s="63"/>
      <c r="E84" s="63"/>
      <c r="F84" s="63"/>
      <c r="G84" s="112"/>
      <c r="H84" s="112"/>
      <c r="I84" s="112"/>
      <c r="J84" s="112"/>
      <c r="K84" s="112"/>
      <c r="L84" s="112"/>
      <c r="M84" s="112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6" ht="15.75" hidden="1" customHeight="1" x14ac:dyDescent="0.25">
      <c r="A85" s="63"/>
      <c r="B85" s="63"/>
      <c r="C85" s="112"/>
      <c r="D85" s="63"/>
      <c r="E85" s="63"/>
      <c r="F85" s="63"/>
      <c r="G85" s="112"/>
      <c r="H85" s="112"/>
      <c r="I85" s="112"/>
      <c r="J85" s="112"/>
      <c r="K85" s="112"/>
      <c r="L85" s="112"/>
      <c r="M85" s="112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5.75" hidden="1" customHeight="1" x14ac:dyDescent="0.25">
      <c r="A86" s="63"/>
      <c r="B86" s="63"/>
      <c r="C86" s="112"/>
      <c r="D86" s="63"/>
      <c r="E86" s="63"/>
      <c r="F86" s="63"/>
      <c r="G86" s="112"/>
      <c r="H86" s="112"/>
      <c r="I86" s="112"/>
      <c r="J86" s="112"/>
      <c r="K86" s="112"/>
      <c r="L86" s="112"/>
      <c r="M86" s="112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5.75" hidden="1" customHeight="1" x14ac:dyDescent="0.25">
      <c r="A87" s="63"/>
      <c r="B87" s="63"/>
      <c r="C87" s="112"/>
      <c r="D87" s="63"/>
      <c r="E87" s="63"/>
      <c r="F87" s="63"/>
      <c r="G87" s="112"/>
      <c r="H87" s="112"/>
      <c r="I87" s="112"/>
      <c r="J87" s="112"/>
      <c r="K87" s="112"/>
      <c r="L87" s="112"/>
      <c r="M87" s="112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5.75" hidden="1" customHeight="1" x14ac:dyDescent="0.25">
      <c r="A88" s="63"/>
      <c r="B88" s="63"/>
      <c r="C88" s="112"/>
      <c r="D88" s="63"/>
      <c r="E88" s="63"/>
      <c r="F88" s="63"/>
      <c r="G88" s="112"/>
      <c r="H88" s="112"/>
      <c r="I88" s="112"/>
      <c r="J88" s="112"/>
      <c r="K88" s="112"/>
      <c r="L88" s="112"/>
      <c r="M88" s="112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5.75" hidden="1" customHeight="1" x14ac:dyDescent="0.25">
      <c r="A89" s="63"/>
      <c r="B89" s="63"/>
      <c r="C89" s="112"/>
      <c r="D89" s="63"/>
      <c r="E89" s="63"/>
      <c r="F89" s="63"/>
      <c r="G89" s="112"/>
      <c r="H89" s="112"/>
      <c r="I89" s="112"/>
      <c r="J89" s="112"/>
      <c r="K89" s="112"/>
      <c r="L89" s="112"/>
      <c r="M89" s="112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5.75" hidden="1" customHeight="1" x14ac:dyDescent="0.25">
      <c r="A90" s="63"/>
      <c r="B90" s="63"/>
      <c r="C90" s="112"/>
      <c r="D90" s="63"/>
      <c r="E90" s="63"/>
      <c r="F90" s="63"/>
      <c r="G90" s="112"/>
      <c r="H90" s="112"/>
      <c r="I90" s="112"/>
      <c r="J90" s="112"/>
      <c r="K90" s="112"/>
      <c r="L90" s="112"/>
      <c r="M90" s="112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5.75" hidden="1" customHeight="1" x14ac:dyDescent="0.25">
      <c r="A91" s="63"/>
      <c r="B91" s="63"/>
      <c r="C91" s="112"/>
      <c r="D91" s="63"/>
      <c r="E91" s="63"/>
      <c r="F91" s="63"/>
      <c r="G91" s="112"/>
      <c r="H91" s="112"/>
      <c r="I91" s="112"/>
      <c r="J91" s="112"/>
      <c r="K91" s="112"/>
      <c r="L91" s="112"/>
      <c r="M91" s="112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5.75" hidden="1" customHeight="1" x14ac:dyDescent="0.25">
      <c r="A92" s="63"/>
      <c r="B92" s="63"/>
      <c r="C92" s="112"/>
      <c r="D92" s="63"/>
      <c r="E92" s="63"/>
      <c r="F92" s="63"/>
      <c r="G92" s="112"/>
      <c r="H92" s="112"/>
      <c r="I92" s="112"/>
      <c r="J92" s="112"/>
      <c r="K92" s="112"/>
      <c r="L92" s="112"/>
      <c r="M92" s="112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5.75" hidden="1" customHeight="1" x14ac:dyDescent="0.25">
      <c r="A93" s="63"/>
      <c r="B93" s="63"/>
      <c r="C93" s="112"/>
      <c r="D93" s="63"/>
      <c r="E93" s="63"/>
      <c r="F93" s="63"/>
      <c r="G93" s="112"/>
      <c r="H93" s="112"/>
      <c r="I93" s="112"/>
      <c r="J93" s="112"/>
      <c r="K93" s="112"/>
      <c r="L93" s="112"/>
      <c r="M93" s="112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5.75" hidden="1" customHeight="1" x14ac:dyDescent="0.25">
      <c r="A94" s="63"/>
      <c r="B94" s="63"/>
      <c r="C94" s="112"/>
      <c r="D94" s="63"/>
      <c r="E94" s="63"/>
      <c r="F94" s="63"/>
      <c r="G94" s="112"/>
      <c r="H94" s="112"/>
      <c r="I94" s="112"/>
      <c r="J94" s="112"/>
      <c r="K94" s="112"/>
      <c r="L94" s="112"/>
      <c r="M94" s="112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5.75" hidden="1" customHeight="1" x14ac:dyDescent="0.25">
      <c r="A95" s="63"/>
      <c r="B95" s="63"/>
      <c r="C95" s="112"/>
      <c r="D95" s="63"/>
      <c r="E95" s="63"/>
      <c r="F95" s="63"/>
      <c r="G95" s="112"/>
      <c r="H95" s="112"/>
      <c r="I95" s="112"/>
      <c r="J95" s="112"/>
      <c r="K95" s="112"/>
      <c r="L95" s="112"/>
      <c r="M95" s="112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5.75" hidden="1" customHeight="1" x14ac:dyDescent="0.25">
      <c r="A96" s="63"/>
      <c r="B96" s="63"/>
      <c r="C96" s="112"/>
      <c r="D96" s="63"/>
      <c r="E96" s="63"/>
      <c r="F96" s="63"/>
      <c r="G96" s="112"/>
      <c r="H96" s="112"/>
      <c r="I96" s="112"/>
      <c r="J96" s="112"/>
      <c r="K96" s="112"/>
      <c r="L96" s="112"/>
      <c r="M96" s="112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15.75" hidden="1" customHeight="1" x14ac:dyDescent="0.25">
      <c r="A97" s="63"/>
      <c r="B97" s="63"/>
      <c r="C97" s="112"/>
      <c r="D97" s="63"/>
      <c r="E97" s="63"/>
      <c r="F97" s="63"/>
      <c r="G97" s="112"/>
      <c r="H97" s="112"/>
      <c r="I97" s="112"/>
      <c r="J97" s="112"/>
      <c r="K97" s="112"/>
      <c r="L97" s="112"/>
      <c r="M97" s="112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5.75" hidden="1" customHeight="1" x14ac:dyDescent="0.25">
      <c r="A98" s="63"/>
      <c r="B98" s="63"/>
      <c r="C98" s="112"/>
      <c r="D98" s="63"/>
      <c r="E98" s="63"/>
      <c r="F98" s="63"/>
      <c r="G98" s="112"/>
      <c r="H98" s="112"/>
      <c r="I98" s="112"/>
      <c r="J98" s="112"/>
      <c r="K98" s="112"/>
      <c r="L98" s="112"/>
      <c r="M98" s="112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5.75" hidden="1" customHeight="1" x14ac:dyDescent="0.25">
      <c r="A99" s="63"/>
      <c r="B99" s="63"/>
      <c r="C99" s="112"/>
      <c r="D99" s="63"/>
      <c r="E99" s="63"/>
      <c r="F99" s="63"/>
      <c r="G99" s="112"/>
      <c r="H99" s="112"/>
      <c r="I99" s="112"/>
      <c r="J99" s="112"/>
      <c r="K99" s="112"/>
      <c r="L99" s="112"/>
      <c r="M99" s="112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5.75" hidden="1" customHeight="1" x14ac:dyDescent="0.25">
      <c r="A100" s="63"/>
      <c r="B100" s="63"/>
      <c r="C100" s="112"/>
      <c r="D100" s="63"/>
      <c r="E100" s="63"/>
      <c r="F100" s="63"/>
      <c r="G100" s="112"/>
      <c r="H100" s="112"/>
      <c r="I100" s="112"/>
      <c r="J100" s="112"/>
      <c r="K100" s="112"/>
      <c r="L100" s="112"/>
      <c r="M100" s="112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5.75" hidden="1" customHeight="1" x14ac:dyDescent="0.25">
      <c r="A101" s="63"/>
      <c r="B101" s="63"/>
      <c r="C101" s="112"/>
      <c r="D101" s="63"/>
      <c r="E101" s="63"/>
      <c r="F101" s="63"/>
      <c r="G101" s="112"/>
      <c r="H101" s="112"/>
      <c r="I101" s="112"/>
      <c r="J101" s="112"/>
      <c r="K101" s="112"/>
      <c r="L101" s="112"/>
      <c r="M101" s="112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5.75" hidden="1" customHeight="1" x14ac:dyDescent="0.25">
      <c r="A102" s="63"/>
      <c r="B102" s="63"/>
      <c r="C102" s="112"/>
      <c r="D102" s="63"/>
      <c r="E102" s="63"/>
      <c r="F102" s="63"/>
      <c r="G102" s="112"/>
      <c r="H102" s="112"/>
      <c r="I102" s="112"/>
      <c r="J102" s="112"/>
      <c r="K102" s="112"/>
      <c r="L102" s="112"/>
      <c r="M102" s="112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5.75" hidden="1" customHeight="1" x14ac:dyDescent="0.25">
      <c r="A103" s="63"/>
      <c r="B103" s="63"/>
      <c r="C103" s="112"/>
      <c r="D103" s="63"/>
      <c r="E103" s="63"/>
      <c r="F103" s="63"/>
      <c r="G103" s="112"/>
      <c r="H103" s="112"/>
      <c r="I103" s="112"/>
      <c r="J103" s="112"/>
      <c r="K103" s="112"/>
      <c r="L103" s="112"/>
      <c r="M103" s="112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5.75" hidden="1" customHeight="1" x14ac:dyDescent="0.25">
      <c r="A104" s="63"/>
      <c r="B104" s="63"/>
      <c r="C104" s="112"/>
      <c r="D104" s="63"/>
      <c r="E104" s="63"/>
      <c r="F104" s="63"/>
      <c r="G104" s="112"/>
      <c r="H104" s="112"/>
      <c r="I104" s="112"/>
      <c r="J104" s="112"/>
      <c r="K104" s="112"/>
      <c r="L104" s="112"/>
      <c r="M104" s="112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5.75" hidden="1" customHeight="1" x14ac:dyDescent="0.25">
      <c r="A105" s="63"/>
      <c r="B105" s="63"/>
      <c r="C105" s="112"/>
      <c r="D105" s="63"/>
      <c r="E105" s="63"/>
      <c r="F105" s="63"/>
      <c r="G105" s="112"/>
      <c r="H105" s="112"/>
      <c r="I105" s="112"/>
      <c r="J105" s="112"/>
      <c r="K105" s="112"/>
      <c r="L105" s="112"/>
      <c r="M105" s="112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5.75" hidden="1" customHeight="1" x14ac:dyDescent="0.25">
      <c r="A106" s="63"/>
      <c r="B106" s="63"/>
      <c r="C106" s="112"/>
      <c r="D106" s="63"/>
      <c r="E106" s="63"/>
      <c r="F106" s="63"/>
      <c r="G106" s="112"/>
      <c r="H106" s="112"/>
      <c r="I106" s="112"/>
      <c r="J106" s="112"/>
      <c r="K106" s="112"/>
      <c r="L106" s="112"/>
      <c r="M106" s="112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5.75" hidden="1" customHeight="1" x14ac:dyDescent="0.25">
      <c r="A107" s="63"/>
      <c r="B107" s="63"/>
      <c r="C107" s="112"/>
      <c r="D107" s="63"/>
      <c r="E107" s="63"/>
      <c r="F107" s="63"/>
      <c r="G107" s="112"/>
      <c r="H107" s="112"/>
      <c r="I107" s="112"/>
      <c r="J107" s="112"/>
      <c r="K107" s="112"/>
      <c r="L107" s="112"/>
      <c r="M107" s="112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5.75" hidden="1" customHeight="1" x14ac:dyDescent="0.25">
      <c r="A108" s="63"/>
      <c r="B108" s="63"/>
      <c r="C108" s="112"/>
      <c r="D108" s="63"/>
      <c r="E108" s="63"/>
      <c r="F108" s="63"/>
      <c r="G108" s="112"/>
      <c r="H108" s="112"/>
      <c r="I108" s="112"/>
      <c r="J108" s="112"/>
      <c r="K108" s="112"/>
      <c r="L108" s="112"/>
      <c r="M108" s="112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5.75" hidden="1" customHeight="1" x14ac:dyDescent="0.25">
      <c r="A109" s="63"/>
      <c r="B109" s="63"/>
      <c r="C109" s="112"/>
      <c r="D109" s="63"/>
      <c r="E109" s="63"/>
      <c r="F109" s="63"/>
      <c r="G109" s="112"/>
      <c r="H109" s="112"/>
      <c r="I109" s="112"/>
      <c r="J109" s="112"/>
      <c r="K109" s="112"/>
      <c r="L109" s="112"/>
      <c r="M109" s="112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5.75" hidden="1" customHeight="1" x14ac:dyDescent="0.25">
      <c r="A110" s="63"/>
      <c r="B110" s="63"/>
      <c r="C110" s="112"/>
      <c r="D110" s="63"/>
      <c r="E110" s="63"/>
      <c r="F110" s="63"/>
      <c r="G110" s="112"/>
      <c r="H110" s="112"/>
      <c r="I110" s="112"/>
      <c r="J110" s="112"/>
      <c r="K110" s="112"/>
      <c r="L110" s="112"/>
      <c r="M110" s="112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5.75" hidden="1" customHeight="1" x14ac:dyDescent="0.25">
      <c r="A111" s="63"/>
      <c r="B111" s="63"/>
      <c r="C111" s="112"/>
      <c r="D111" s="63"/>
      <c r="E111" s="63"/>
      <c r="F111" s="63"/>
      <c r="G111" s="112"/>
      <c r="H111" s="112"/>
      <c r="I111" s="112"/>
      <c r="J111" s="112"/>
      <c r="K111" s="112"/>
      <c r="L111" s="112"/>
      <c r="M111" s="112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5.75" hidden="1" customHeight="1" x14ac:dyDescent="0.25">
      <c r="A112" s="63"/>
      <c r="B112" s="63"/>
      <c r="C112" s="112"/>
      <c r="D112" s="63"/>
      <c r="E112" s="63"/>
      <c r="F112" s="63"/>
      <c r="G112" s="112"/>
      <c r="H112" s="112"/>
      <c r="I112" s="112"/>
      <c r="J112" s="112"/>
      <c r="K112" s="112"/>
      <c r="L112" s="112"/>
      <c r="M112" s="112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5.75" hidden="1" customHeight="1" x14ac:dyDescent="0.25">
      <c r="A113" s="63"/>
      <c r="B113" s="63"/>
      <c r="C113" s="112"/>
      <c r="D113" s="63"/>
      <c r="E113" s="63"/>
      <c r="F113" s="63"/>
      <c r="G113" s="112"/>
      <c r="H113" s="112"/>
      <c r="I113" s="112"/>
      <c r="J113" s="112"/>
      <c r="K113" s="112"/>
      <c r="L113" s="112"/>
      <c r="M113" s="112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5.75" hidden="1" customHeight="1" x14ac:dyDescent="0.25">
      <c r="A114" s="63"/>
      <c r="B114" s="63"/>
      <c r="C114" s="112"/>
      <c r="D114" s="63"/>
      <c r="E114" s="63"/>
      <c r="F114" s="63"/>
      <c r="G114" s="112"/>
      <c r="H114" s="112"/>
      <c r="I114" s="112"/>
      <c r="J114" s="112"/>
      <c r="K114" s="112"/>
      <c r="L114" s="112"/>
      <c r="M114" s="112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5.75" hidden="1" customHeight="1" x14ac:dyDescent="0.25">
      <c r="A115" s="63"/>
      <c r="B115" s="63"/>
      <c r="C115" s="112"/>
      <c r="D115" s="63"/>
      <c r="E115" s="63"/>
      <c r="F115" s="63"/>
      <c r="G115" s="112"/>
      <c r="H115" s="112"/>
      <c r="I115" s="112"/>
      <c r="J115" s="112"/>
      <c r="K115" s="112"/>
      <c r="L115" s="112"/>
      <c r="M115" s="112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5.75" hidden="1" customHeight="1" x14ac:dyDescent="0.25">
      <c r="A116" s="63"/>
      <c r="B116" s="63"/>
      <c r="C116" s="112"/>
      <c r="D116" s="63"/>
      <c r="E116" s="63"/>
      <c r="F116" s="63"/>
      <c r="G116" s="112"/>
      <c r="H116" s="112"/>
      <c r="I116" s="112"/>
      <c r="J116" s="112"/>
      <c r="K116" s="112"/>
      <c r="L116" s="112"/>
      <c r="M116" s="112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15.75" hidden="1" customHeight="1" x14ac:dyDescent="0.25">
      <c r="A117" s="63"/>
      <c r="B117" s="63"/>
      <c r="C117" s="112"/>
      <c r="D117" s="63"/>
      <c r="E117" s="63"/>
      <c r="F117" s="63"/>
      <c r="G117" s="112"/>
      <c r="H117" s="112"/>
      <c r="I117" s="112"/>
      <c r="J117" s="112"/>
      <c r="K117" s="112"/>
      <c r="L117" s="112"/>
      <c r="M117" s="112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15.75" hidden="1" customHeight="1" x14ac:dyDescent="0.25">
      <c r="A118" s="63"/>
      <c r="B118" s="63"/>
      <c r="C118" s="112"/>
      <c r="D118" s="63"/>
      <c r="E118" s="63"/>
      <c r="F118" s="63"/>
      <c r="G118" s="112"/>
      <c r="H118" s="112"/>
      <c r="I118" s="112"/>
      <c r="J118" s="112"/>
      <c r="K118" s="112"/>
      <c r="L118" s="112"/>
      <c r="M118" s="112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15.75" hidden="1" customHeight="1" x14ac:dyDescent="0.25">
      <c r="A119" s="63"/>
      <c r="B119" s="63"/>
      <c r="C119" s="112"/>
      <c r="D119" s="63"/>
      <c r="E119" s="63"/>
      <c r="F119" s="63"/>
      <c r="G119" s="112"/>
      <c r="H119" s="112"/>
      <c r="I119" s="112"/>
      <c r="J119" s="112"/>
      <c r="K119" s="112"/>
      <c r="L119" s="112"/>
      <c r="M119" s="112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5.75" hidden="1" customHeight="1" x14ac:dyDescent="0.25">
      <c r="A120" s="63"/>
      <c r="B120" s="63"/>
      <c r="C120" s="112"/>
      <c r="D120" s="63"/>
      <c r="E120" s="63"/>
      <c r="F120" s="63"/>
      <c r="G120" s="112"/>
      <c r="H120" s="112"/>
      <c r="I120" s="112"/>
      <c r="J120" s="112"/>
      <c r="K120" s="112"/>
      <c r="L120" s="112"/>
      <c r="M120" s="112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5.75" hidden="1" customHeight="1" x14ac:dyDescent="0.25">
      <c r="A121" s="63"/>
      <c r="B121" s="63"/>
      <c r="C121" s="112"/>
      <c r="D121" s="63"/>
      <c r="E121" s="63"/>
      <c r="F121" s="63"/>
      <c r="G121" s="112"/>
      <c r="H121" s="112"/>
      <c r="I121" s="112"/>
      <c r="J121" s="112"/>
      <c r="K121" s="112"/>
      <c r="L121" s="112"/>
      <c r="M121" s="112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pans="1:26" ht="15.75" hidden="1" customHeight="1" x14ac:dyDescent="0.25">
      <c r="A122" s="63"/>
      <c r="B122" s="63"/>
      <c r="C122" s="112"/>
      <c r="D122" s="63"/>
      <c r="E122" s="63"/>
      <c r="F122" s="63"/>
      <c r="G122" s="112"/>
      <c r="H122" s="112"/>
      <c r="I122" s="112"/>
      <c r="J122" s="112"/>
      <c r="K122" s="112"/>
      <c r="L122" s="112"/>
      <c r="M122" s="112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pans="1:26" ht="15.75" hidden="1" customHeight="1" x14ac:dyDescent="0.25">
      <c r="A123" s="63"/>
      <c r="B123" s="63"/>
      <c r="C123" s="112"/>
      <c r="D123" s="63"/>
      <c r="E123" s="63"/>
      <c r="F123" s="63"/>
      <c r="G123" s="112"/>
      <c r="H123" s="112"/>
      <c r="I123" s="112"/>
      <c r="J123" s="112"/>
      <c r="K123" s="112"/>
      <c r="L123" s="112"/>
      <c r="M123" s="112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pans="1:26" ht="15.75" hidden="1" customHeight="1" x14ac:dyDescent="0.25">
      <c r="A124" s="63"/>
      <c r="B124" s="63"/>
      <c r="C124" s="112"/>
      <c r="D124" s="63"/>
      <c r="E124" s="63"/>
      <c r="F124" s="63"/>
      <c r="G124" s="112"/>
      <c r="H124" s="112"/>
      <c r="I124" s="112"/>
      <c r="J124" s="112"/>
      <c r="K124" s="112"/>
      <c r="L124" s="112"/>
      <c r="M124" s="112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pans="1:26" ht="15.75" hidden="1" customHeight="1" x14ac:dyDescent="0.25">
      <c r="A125" s="63"/>
      <c r="B125" s="63"/>
      <c r="C125" s="112"/>
      <c r="D125" s="63"/>
      <c r="E125" s="63"/>
      <c r="F125" s="63"/>
      <c r="G125" s="112"/>
      <c r="H125" s="112"/>
      <c r="I125" s="112"/>
      <c r="J125" s="112"/>
      <c r="K125" s="112"/>
      <c r="L125" s="112"/>
      <c r="M125" s="112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pans="1:26" ht="15.75" hidden="1" customHeight="1" x14ac:dyDescent="0.25">
      <c r="A126" s="63"/>
      <c r="B126" s="63"/>
      <c r="C126" s="112"/>
      <c r="D126" s="63"/>
      <c r="E126" s="63"/>
      <c r="F126" s="63"/>
      <c r="G126" s="112"/>
      <c r="H126" s="112"/>
      <c r="I126" s="112"/>
      <c r="J126" s="112"/>
      <c r="K126" s="112"/>
      <c r="L126" s="112"/>
      <c r="M126" s="112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pans="1:26" ht="15.75" hidden="1" customHeight="1" x14ac:dyDescent="0.25">
      <c r="A127" s="63"/>
      <c r="B127" s="63"/>
      <c r="C127" s="112"/>
      <c r="D127" s="63"/>
      <c r="E127" s="63"/>
      <c r="F127" s="63"/>
      <c r="G127" s="112"/>
      <c r="H127" s="112"/>
      <c r="I127" s="112"/>
      <c r="J127" s="112"/>
      <c r="K127" s="112"/>
      <c r="L127" s="112"/>
      <c r="M127" s="112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pans="1:26" ht="15.75" hidden="1" customHeight="1" x14ac:dyDescent="0.25">
      <c r="A128" s="63"/>
      <c r="B128" s="63"/>
      <c r="C128" s="112"/>
      <c r="D128" s="63"/>
      <c r="E128" s="63"/>
      <c r="F128" s="63"/>
      <c r="G128" s="112"/>
      <c r="H128" s="112"/>
      <c r="I128" s="112"/>
      <c r="J128" s="112"/>
      <c r="K128" s="112"/>
      <c r="L128" s="112"/>
      <c r="M128" s="112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pans="1:26" ht="15.75" hidden="1" customHeight="1" x14ac:dyDescent="0.25">
      <c r="A129" s="63"/>
      <c r="B129" s="63"/>
      <c r="C129" s="112"/>
      <c r="D129" s="63"/>
      <c r="E129" s="63"/>
      <c r="F129" s="63"/>
      <c r="G129" s="112"/>
      <c r="H129" s="112"/>
      <c r="I129" s="112"/>
      <c r="J129" s="112"/>
      <c r="K129" s="112"/>
      <c r="L129" s="112"/>
      <c r="M129" s="112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pans="1:26" ht="15.75" hidden="1" customHeight="1" x14ac:dyDescent="0.25">
      <c r="A130" s="63"/>
      <c r="B130" s="63"/>
      <c r="C130" s="112"/>
      <c r="D130" s="63"/>
      <c r="E130" s="63"/>
      <c r="F130" s="63"/>
      <c r="G130" s="112"/>
      <c r="H130" s="112"/>
      <c r="I130" s="112"/>
      <c r="J130" s="112"/>
      <c r="K130" s="112"/>
      <c r="L130" s="112"/>
      <c r="M130" s="112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15.75" hidden="1" customHeight="1" x14ac:dyDescent="0.25">
      <c r="A131" s="63"/>
      <c r="B131" s="63"/>
      <c r="C131" s="112"/>
      <c r="D131" s="63"/>
      <c r="E131" s="63"/>
      <c r="F131" s="63"/>
      <c r="G131" s="112"/>
      <c r="H131" s="112"/>
      <c r="I131" s="112"/>
      <c r="J131" s="112"/>
      <c r="K131" s="112"/>
      <c r="L131" s="112"/>
      <c r="M131" s="112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15.75" hidden="1" customHeight="1" x14ac:dyDescent="0.25">
      <c r="A132" s="63"/>
      <c r="B132" s="63"/>
      <c r="C132" s="112"/>
      <c r="D132" s="63"/>
      <c r="E132" s="63"/>
      <c r="F132" s="63"/>
      <c r="G132" s="112"/>
      <c r="H132" s="112"/>
      <c r="I132" s="112"/>
      <c r="J132" s="112"/>
      <c r="K132" s="112"/>
      <c r="L132" s="112"/>
      <c r="M132" s="112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15.75" hidden="1" customHeight="1" x14ac:dyDescent="0.25">
      <c r="A133" s="63"/>
      <c r="B133" s="63"/>
      <c r="C133" s="112"/>
      <c r="D133" s="63"/>
      <c r="E133" s="63"/>
      <c r="F133" s="63"/>
      <c r="G133" s="112"/>
      <c r="H133" s="112"/>
      <c r="I133" s="112"/>
      <c r="J133" s="112"/>
      <c r="K133" s="112"/>
      <c r="L133" s="112"/>
      <c r="M133" s="112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15.75" hidden="1" customHeight="1" x14ac:dyDescent="0.25">
      <c r="A134" s="63"/>
      <c r="B134" s="63"/>
      <c r="C134" s="112"/>
      <c r="D134" s="63"/>
      <c r="E134" s="63"/>
      <c r="F134" s="63"/>
      <c r="G134" s="112"/>
      <c r="H134" s="112"/>
      <c r="I134" s="112"/>
      <c r="J134" s="112"/>
      <c r="K134" s="112"/>
      <c r="L134" s="112"/>
      <c r="M134" s="112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15.75" hidden="1" customHeight="1" x14ac:dyDescent="0.25">
      <c r="A135" s="63"/>
      <c r="B135" s="63"/>
      <c r="C135" s="112"/>
      <c r="D135" s="63"/>
      <c r="E135" s="63"/>
      <c r="F135" s="63"/>
      <c r="G135" s="112"/>
      <c r="H135" s="112"/>
      <c r="I135" s="112"/>
      <c r="J135" s="112"/>
      <c r="K135" s="112"/>
      <c r="L135" s="112"/>
      <c r="M135" s="112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15.75" hidden="1" customHeight="1" x14ac:dyDescent="0.25">
      <c r="A136" s="63"/>
      <c r="B136" s="63"/>
      <c r="C136" s="112"/>
      <c r="D136" s="63"/>
      <c r="E136" s="63"/>
      <c r="F136" s="63"/>
      <c r="G136" s="112"/>
      <c r="H136" s="112"/>
      <c r="I136" s="112"/>
      <c r="J136" s="112"/>
      <c r="K136" s="112"/>
      <c r="L136" s="112"/>
      <c r="M136" s="112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5.75" hidden="1" customHeight="1" x14ac:dyDescent="0.25">
      <c r="A137" s="63"/>
      <c r="B137" s="63"/>
      <c r="C137" s="112"/>
      <c r="D137" s="63"/>
      <c r="E137" s="63"/>
      <c r="F137" s="63"/>
      <c r="G137" s="112"/>
      <c r="H137" s="112"/>
      <c r="I137" s="112"/>
      <c r="J137" s="112"/>
      <c r="K137" s="112"/>
      <c r="L137" s="112"/>
      <c r="M137" s="112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15.75" hidden="1" customHeight="1" x14ac:dyDescent="0.25">
      <c r="A138" s="63"/>
      <c r="B138" s="63"/>
      <c r="C138" s="112"/>
      <c r="D138" s="63"/>
      <c r="E138" s="63"/>
      <c r="F138" s="63"/>
      <c r="G138" s="112"/>
      <c r="H138" s="112"/>
      <c r="I138" s="112"/>
      <c r="J138" s="112"/>
      <c r="K138" s="112"/>
      <c r="L138" s="112"/>
      <c r="M138" s="112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15.75" hidden="1" customHeight="1" x14ac:dyDescent="0.25">
      <c r="A139" s="63"/>
      <c r="B139" s="63"/>
      <c r="C139" s="112"/>
      <c r="D139" s="63"/>
      <c r="E139" s="63"/>
      <c r="F139" s="63"/>
      <c r="G139" s="112"/>
      <c r="H139" s="112"/>
      <c r="I139" s="112"/>
      <c r="J139" s="112"/>
      <c r="K139" s="112"/>
      <c r="L139" s="112"/>
      <c r="M139" s="112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15.75" hidden="1" customHeight="1" x14ac:dyDescent="0.25">
      <c r="A140" s="63"/>
      <c r="B140" s="63"/>
      <c r="C140" s="112"/>
      <c r="D140" s="63"/>
      <c r="E140" s="63"/>
      <c r="F140" s="63"/>
      <c r="G140" s="112"/>
      <c r="H140" s="112"/>
      <c r="I140" s="112"/>
      <c r="J140" s="112"/>
      <c r="K140" s="112"/>
      <c r="L140" s="112"/>
      <c r="M140" s="112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15.75" hidden="1" customHeight="1" x14ac:dyDescent="0.25">
      <c r="A141" s="63"/>
      <c r="B141" s="63"/>
      <c r="C141" s="112"/>
      <c r="D141" s="63"/>
      <c r="E141" s="63"/>
      <c r="F141" s="63"/>
      <c r="G141" s="112"/>
      <c r="H141" s="112"/>
      <c r="I141" s="112"/>
      <c r="J141" s="112"/>
      <c r="K141" s="112"/>
      <c r="L141" s="112"/>
      <c r="M141" s="112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15.75" hidden="1" customHeight="1" x14ac:dyDescent="0.25">
      <c r="A142" s="63"/>
      <c r="B142" s="63"/>
      <c r="C142" s="112"/>
      <c r="D142" s="63"/>
      <c r="E142" s="63"/>
      <c r="F142" s="63"/>
      <c r="G142" s="112"/>
      <c r="H142" s="112"/>
      <c r="I142" s="112"/>
      <c r="J142" s="112"/>
      <c r="K142" s="112"/>
      <c r="L142" s="112"/>
      <c r="M142" s="112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15.75" hidden="1" customHeight="1" x14ac:dyDescent="0.25">
      <c r="A143" s="63"/>
      <c r="B143" s="63"/>
      <c r="C143" s="112"/>
      <c r="D143" s="63"/>
      <c r="E143" s="63"/>
      <c r="F143" s="63"/>
      <c r="G143" s="112"/>
      <c r="H143" s="112"/>
      <c r="I143" s="112"/>
      <c r="J143" s="112"/>
      <c r="K143" s="112"/>
      <c r="L143" s="112"/>
      <c r="M143" s="112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15.75" hidden="1" customHeight="1" x14ac:dyDescent="0.25">
      <c r="A144" s="63"/>
      <c r="B144" s="63"/>
      <c r="C144" s="112"/>
      <c r="D144" s="63"/>
      <c r="E144" s="63"/>
      <c r="F144" s="63"/>
      <c r="G144" s="112"/>
      <c r="H144" s="112"/>
      <c r="I144" s="112"/>
      <c r="J144" s="112"/>
      <c r="K144" s="112"/>
      <c r="L144" s="112"/>
      <c r="M144" s="112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15.75" hidden="1" customHeight="1" x14ac:dyDescent="0.25">
      <c r="A145" s="63"/>
      <c r="B145" s="63"/>
      <c r="C145" s="112"/>
      <c r="D145" s="63"/>
      <c r="E145" s="63"/>
      <c r="F145" s="63"/>
      <c r="G145" s="112"/>
      <c r="H145" s="112"/>
      <c r="I145" s="112"/>
      <c r="J145" s="112"/>
      <c r="K145" s="112"/>
      <c r="L145" s="112"/>
      <c r="M145" s="112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15.75" hidden="1" customHeight="1" x14ac:dyDescent="0.25">
      <c r="A146" s="63"/>
      <c r="B146" s="63"/>
      <c r="C146" s="112"/>
      <c r="D146" s="63"/>
      <c r="E146" s="63"/>
      <c r="F146" s="63"/>
      <c r="G146" s="112"/>
      <c r="H146" s="112"/>
      <c r="I146" s="112"/>
      <c r="J146" s="112"/>
      <c r="K146" s="112"/>
      <c r="L146" s="112"/>
      <c r="M146" s="112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15.75" hidden="1" customHeight="1" x14ac:dyDescent="0.25">
      <c r="A147" s="63"/>
      <c r="B147" s="63"/>
      <c r="C147" s="112"/>
      <c r="D147" s="63"/>
      <c r="E147" s="63"/>
      <c r="F147" s="63"/>
      <c r="G147" s="112"/>
      <c r="H147" s="112"/>
      <c r="I147" s="112"/>
      <c r="J147" s="112"/>
      <c r="K147" s="112"/>
      <c r="L147" s="112"/>
      <c r="M147" s="112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15.75" hidden="1" customHeight="1" x14ac:dyDescent="0.25">
      <c r="A148" s="63"/>
      <c r="B148" s="63"/>
      <c r="C148" s="112"/>
      <c r="D148" s="63"/>
      <c r="E148" s="63"/>
      <c r="F148" s="63"/>
      <c r="G148" s="112"/>
      <c r="H148" s="112"/>
      <c r="I148" s="112"/>
      <c r="J148" s="112"/>
      <c r="K148" s="112"/>
      <c r="L148" s="112"/>
      <c r="M148" s="112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15.75" hidden="1" customHeight="1" x14ac:dyDescent="0.25">
      <c r="A149" s="63"/>
      <c r="B149" s="63"/>
      <c r="C149" s="112"/>
      <c r="D149" s="63"/>
      <c r="E149" s="63"/>
      <c r="F149" s="63"/>
      <c r="G149" s="112"/>
      <c r="H149" s="112"/>
      <c r="I149" s="112"/>
      <c r="J149" s="112"/>
      <c r="K149" s="112"/>
      <c r="L149" s="112"/>
      <c r="M149" s="112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15.75" hidden="1" customHeight="1" x14ac:dyDescent="0.25">
      <c r="A150" s="63"/>
      <c r="B150" s="63"/>
      <c r="C150" s="112"/>
      <c r="D150" s="63"/>
      <c r="E150" s="63"/>
      <c r="F150" s="63"/>
      <c r="G150" s="112"/>
      <c r="H150" s="112"/>
      <c r="I150" s="112"/>
      <c r="J150" s="112"/>
      <c r="K150" s="112"/>
      <c r="L150" s="112"/>
      <c r="M150" s="112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15.75" hidden="1" customHeight="1" x14ac:dyDescent="0.25">
      <c r="A151" s="63"/>
      <c r="B151" s="63"/>
      <c r="C151" s="112"/>
      <c r="D151" s="63"/>
      <c r="E151" s="63"/>
      <c r="F151" s="63"/>
      <c r="G151" s="112"/>
      <c r="H151" s="112"/>
      <c r="I151" s="112"/>
      <c r="J151" s="112"/>
      <c r="K151" s="112"/>
      <c r="L151" s="112"/>
      <c r="M151" s="112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15.75" hidden="1" customHeight="1" x14ac:dyDescent="0.25">
      <c r="A152" s="63"/>
      <c r="B152" s="63"/>
      <c r="C152" s="112"/>
      <c r="D152" s="63"/>
      <c r="E152" s="63"/>
      <c r="F152" s="63"/>
      <c r="G152" s="112"/>
      <c r="H152" s="112"/>
      <c r="I152" s="112"/>
      <c r="J152" s="112"/>
      <c r="K152" s="112"/>
      <c r="L152" s="112"/>
      <c r="M152" s="112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15.75" hidden="1" customHeight="1" x14ac:dyDescent="0.25">
      <c r="A153" s="63"/>
      <c r="B153" s="63"/>
      <c r="C153" s="112"/>
      <c r="D153" s="63"/>
      <c r="E153" s="63"/>
      <c r="F153" s="63"/>
      <c r="G153" s="112"/>
      <c r="H153" s="112"/>
      <c r="I153" s="112"/>
      <c r="J153" s="112"/>
      <c r="K153" s="112"/>
      <c r="L153" s="112"/>
      <c r="M153" s="112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15.75" hidden="1" customHeight="1" x14ac:dyDescent="0.25">
      <c r="A154" s="63"/>
      <c r="B154" s="63"/>
      <c r="C154" s="112"/>
      <c r="D154" s="63"/>
      <c r="E154" s="63"/>
      <c r="F154" s="63"/>
      <c r="G154" s="112"/>
      <c r="H154" s="112"/>
      <c r="I154" s="112"/>
      <c r="J154" s="112"/>
      <c r="K154" s="112"/>
      <c r="L154" s="112"/>
      <c r="M154" s="112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15.75" hidden="1" customHeight="1" x14ac:dyDescent="0.25">
      <c r="A155" s="63"/>
      <c r="B155" s="63"/>
      <c r="C155" s="112"/>
      <c r="D155" s="63"/>
      <c r="E155" s="63"/>
      <c r="F155" s="63"/>
      <c r="G155" s="112"/>
      <c r="H155" s="112"/>
      <c r="I155" s="112"/>
      <c r="J155" s="112"/>
      <c r="K155" s="112"/>
      <c r="L155" s="112"/>
      <c r="M155" s="112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15.75" hidden="1" customHeight="1" x14ac:dyDescent="0.25">
      <c r="A156" s="63"/>
      <c r="B156" s="63"/>
      <c r="C156" s="112"/>
      <c r="D156" s="63"/>
      <c r="E156" s="63"/>
      <c r="F156" s="63"/>
      <c r="G156" s="112"/>
      <c r="H156" s="112"/>
      <c r="I156" s="112"/>
      <c r="J156" s="112"/>
      <c r="K156" s="112"/>
      <c r="L156" s="112"/>
      <c r="M156" s="112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15.75" hidden="1" customHeight="1" x14ac:dyDescent="0.25">
      <c r="A157" s="63"/>
      <c r="B157" s="63"/>
      <c r="C157" s="112"/>
      <c r="D157" s="63"/>
      <c r="E157" s="63"/>
      <c r="F157" s="63"/>
      <c r="G157" s="112"/>
      <c r="H157" s="112"/>
      <c r="I157" s="112"/>
      <c r="J157" s="112"/>
      <c r="K157" s="112"/>
      <c r="L157" s="112"/>
      <c r="M157" s="112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15.75" hidden="1" customHeight="1" x14ac:dyDescent="0.25">
      <c r="A158" s="63"/>
      <c r="B158" s="63"/>
      <c r="C158" s="112"/>
      <c r="D158" s="63"/>
      <c r="E158" s="63"/>
      <c r="F158" s="63"/>
      <c r="G158" s="112"/>
      <c r="H158" s="112"/>
      <c r="I158" s="112"/>
      <c r="J158" s="112"/>
      <c r="K158" s="112"/>
      <c r="L158" s="112"/>
      <c r="M158" s="112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15.75" hidden="1" customHeight="1" x14ac:dyDescent="0.25">
      <c r="A159" s="63"/>
      <c r="B159" s="63"/>
      <c r="C159" s="112"/>
      <c r="D159" s="63"/>
      <c r="E159" s="63"/>
      <c r="F159" s="63"/>
      <c r="G159" s="112"/>
      <c r="H159" s="112"/>
      <c r="I159" s="112"/>
      <c r="J159" s="112"/>
      <c r="K159" s="112"/>
      <c r="L159" s="112"/>
      <c r="M159" s="112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15.75" hidden="1" customHeight="1" x14ac:dyDescent="0.25">
      <c r="A160" s="63"/>
      <c r="B160" s="63"/>
      <c r="C160" s="112"/>
      <c r="D160" s="63"/>
      <c r="E160" s="63"/>
      <c r="F160" s="63"/>
      <c r="G160" s="112"/>
      <c r="H160" s="112"/>
      <c r="I160" s="112"/>
      <c r="J160" s="112"/>
      <c r="K160" s="112"/>
      <c r="L160" s="112"/>
      <c r="M160" s="112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15.75" hidden="1" customHeight="1" x14ac:dyDescent="0.25">
      <c r="A161" s="63"/>
      <c r="B161" s="63"/>
      <c r="C161" s="112"/>
      <c r="D161" s="63"/>
      <c r="E161" s="63"/>
      <c r="F161" s="63"/>
      <c r="G161" s="112"/>
      <c r="H161" s="112"/>
      <c r="I161" s="112"/>
      <c r="J161" s="112"/>
      <c r="K161" s="112"/>
      <c r="L161" s="112"/>
      <c r="M161" s="112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15.75" hidden="1" customHeight="1" x14ac:dyDescent="0.25">
      <c r="A162" s="63"/>
      <c r="B162" s="63"/>
      <c r="C162" s="112"/>
      <c r="D162" s="63"/>
      <c r="E162" s="63"/>
      <c r="F162" s="63"/>
      <c r="G162" s="112"/>
      <c r="H162" s="112"/>
      <c r="I162" s="112"/>
      <c r="J162" s="112"/>
      <c r="K162" s="112"/>
      <c r="L162" s="112"/>
      <c r="M162" s="112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15.75" hidden="1" customHeight="1" x14ac:dyDescent="0.25">
      <c r="A163" s="63"/>
      <c r="B163" s="63"/>
      <c r="C163" s="112"/>
      <c r="D163" s="63"/>
      <c r="E163" s="63"/>
      <c r="F163" s="63"/>
      <c r="G163" s="112"/>
      <c r="H163" s="112"/>
      <c r="I163" s="112"/>
      <c r="J163" s="112"/>
      <c r="K163" s="112"/>
      <c r="L163" s="112"/>
      <c r="M163" s="112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15.75" hidden="1" customHeight="1" x14ac:dyDescent="0.25">
      <c r="A164" s="63"/>
      <c r="B164" s="63"/>
      <c r="C164" s="112"/>
      <c r="D164" s="63"/>
      <c r="E164" s="63"/>
      <c r="F164" s="63"/>
      <c r="G164" s="112"/>
      <c r="H164" s="112"/>
      <c r="I164" s="112"/>
      <c r="J164" s="112"/>
      <c r="K164" s="112"/>
      <c r="L164" s="112"/>
      <c r="M164" s="112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15.75" hidden="1" customHeight="1" x14ac:dyDescent="0.25">
      <c r="A165" s="63"/>
      <c r="B165" s="63"/>
      <c r="C165" s="112"/>
      <c r="D165" s="63"/>
      <c r="E165" s="63"/>
      <c r="F165" s="63"/>
      <c r="G165" s="112"/>
      <c r="H165" s="112"/>
      <c r="I165" s="112"/>
      <c r="J165" s="112"/>
      <c r="K165" s="112"/>
      <c r="L165" s="112"/>
      <c r="M165" s="112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15.75" hidden="1" customHeight="1" x14ac:dyDescent="0.25">
      <c r="A166" s="63"/>
      <c r="B166" s="63"/>
      <c r="C166" s="112"/>
      <c r="D166" s="63"/>
      <c r="E166" s="63"/>
      <c r="F166" s="63"/>
      <c r="G166" s="112"/>
      <c r="H166" s="112"/>
      <c r="I166" s="112"/>
      <c r="J166" s="112"/>
      <c r="K166" s="112"/>
      <c r="L166" s="112"/>
      <c r="M166" s="112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15.75" hidden="1" customHeight="1" x14ac:dyDescent="0.25">
      <c r="A167" s="63"/>
      <c r="B167" s="63"/>
      <c r="C167" s="112"/>
      <c r="D167" s="63"/>
      <c r="E167" s="63"/>
      <c r="F167" s="63"/>
      <c r="G167" s="112"/>
      <c r="H167" s="112"/>
      <c r="I167" s="112"/>
      <c r="J167" s="112"/>
      <c r="K167" s="112"/>
      <c r="L167" s="112"/>
      <c r="M167" s="112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15.75" hidden="1" customHeight="1" x14ac:dyDescent="0.25">
      <c r="A168" s="63"/>
      <c r="B168" s="63"/>
      <c r="C168" s="112"/>
      <c r="D168" s="63"/>
      <c r="E168" s="63"/>
      <c r="F168" s="63"/>
      <c r="G168" s="112"/>
      <c r="H168" s="112"/>
      <c r="I168" s="112"/>
      <c r="J168" s="112"/>
      <c r="K168" s="112"/>
      <c r="L168" s="112"/>
      <c r="M168" s="112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15.75" hidden="1" customHeight="1" x14ac:dyDescent="0.25">
      <c r="A169" s="63"/>
      <c r="B169" s="63"/>
      <c r="C169" s="112"/>
      <c r="D169" s="63"/>
      <c r="E169" s="63"/>
      <c r="F169" s="63"/>
      <c r="G169" s="112"/>
      <c r="H169" s="112"/>
      <c r="I169" s="112"/>
      <c r="J169" s="112"/>
      <c r="K169" s="112"/>
      <c r="L169" s="112"/>
      <c r="M169" s="112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15.75" hidden="1" customHeight="1" x14ac:dyDescent="0.25">
      <c r="A170" s="63"/>
      <c r="B170" s="63"/>
      <c r="C170" s="112"/>
      <c r="D170" s="63"/>
      <c r="E170" s="63"/>
      <c r="F170" s="63"/>
      <c r="G170" s="112"/>
      <c r="H170" s="112"/>
      <c r="I170" s="112"/>
      <c r="J170" s="112"/>
      <c r="K170" s="112"/>
      <c r="L170" s="112"/>
      <c r="M170" s="112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15.75" hidden="1" customHeight="1" x14ac:dyDescent="0.25">
      <c r="A171" s="63"/>
      <c r="B171" s="63"/>
      <c r="C171" s="112"/>
      <c r="D171" s="63"/>
      <c r="E171" s="63"/>
      <c r="F171" s="63"/>
      <c r="G171" s="112"/>
      <c r="H171" s="112"/>
      <c r="I171" s="112"/>
      <c r="J171" s="112"/>
      <c r="K171" s="112"/>
      <c r="L171" s="112"/>
      <c r="M171" s="112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15.75" hidden="1" customHeight="1" x14ac:dyDescent="0.25">
      <c r="A172" s="63"/>
      <c r="B172" s="63"/>
      <c r="C172" s="112"/>
      <c r="D172" s="63"/>
      <c r="E172" s="63"/>
      <c r="F172" s="63"/>
      <c r="G172" s="112"/>
      <c r="H172" s="112"/>
      <c r="I172" s="112"/>
      <c r="J172" s="112"/>
      <c r="K172" s="112"/>
      <c r="L172" s="112"/>
      <c r="M172" s="112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15.75" hidden="1" customHeight="1" x14ac:dyDescent="0.25">
      <c r="A173" s="63"/>
      <c r="B173" s="63"/>
      <c r="C173" s="112"/>
      <c r="D173" s="63"/>
      <c r="E173" s="63"/>
      <c r="F173" s="63"/>
      <c r="G173" s="112"/>
      <c r="H173" s="112"/>
      <c r="I173" s="112"/>
      <c r="J173" s="112"/>
      <c r="K173" s="112"/>
      <c r="L173" s="112"/>
      <c r="M173" s="112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15.75" hidden="1" customHeight="1" x14ac:dyDescent="0.25">
      <c r="A174" s="63"/>
      <c r="B174" s="63"/>
      <c r="C174" s="112"/>
      <c r="D174" s="63"/>
      <c r="E174" s="63"/>
      <c r="F174" s="63"/>
      <c r="G174" s="112"/>
      <c r="H174" s="112"/>
      <c r="I174" s="112"/>
      <c r="J174" s="112"/>
      <c r="K174" s="112"/>
      <c r="L174" s="112"/>
      <c r="M174" s="112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15.75" hidden="1" customHeight="1" x14ac:dyDescent="0.25">
      <c r="A175" s="63"/>
      <c r="B175" s="63"/>
      <c r="C175" s="112"/>
      <c r="D175" s="63"/>
      <c r="E175" s="63"/>
      <c r="F175" s="63"/>
      <c r="G175" s="112"/>
      <c r="H175" s="112"/>
      <c r="I175" s="112"/>
      <c r="J175" s="112"/>
      <c r="K175" s="112"/>
      <c r="L175" s="112"/>
      <c r="M175" s="112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15.75" hidden="1" customHeight="1" x14ac:dyDescent="0.25">
      <c r="A176" s="63"/>
      <c r="B176" s="63"/>
      <c r="C176" s="112"/>
      <c r="D176" s="63"/>
      <c r="E176" s="63"/>
      <c r="F176" s="63"/>
      <c r="G176" s="112"/>
      <c r="H176" s="112"/>
      <c r="I176" s="112"/>
      <c r="J176" s="112"/>
      <c r="K176" s="112"/>
      <c r="L176" s="112"/>
      <c r="M176" s="112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15.75" hidden="1" customHeight="1" x14ac:dyDescent="0.25">
      <c r="A177" s="63"/>
      <c r="B177" s="63"/>
      <c r="C177" s="112"/>
      <c r="D177" s="63"/>
      <c r="E177" s="63"/>
      <c r="F177" s="63"/>
      <c r="G177" s="112"/>
      <c r="H177" s="112"/>
      <c r="I177" s="112"/>
      <c r="J177" s="112"/>
      <c r="K177" s="112"/>
      <c r="L177" s="112"/>
      <c r="M177" s="112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15.75" hidden="1" customHeight="1" x14ac:dyDescent="0.25">
      <c r="A178" s="63"/>
      <c r="B178" s="63"/>
      <c r="C178" s="112"/>
      <c r="D178" s="63"/>
      <c r="E178" s="63"/>
      <c r="F178" s="63"/>
      <c r="G178" s="112"/>
      <c r="H178" s="112"/>
      <c r="I178" s="112"/>
      <c r="J178" s="112"/>
      <c r="K178" s="112"/>
      <c r="L178" s="112"/>
      <c r="M178" s="112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15.75" hidden="1" customHeight="1" x14ac:dyDescent="0.25">
      <c r="A179" s="63"/>
      <c r="B179" s="63"/>
      <c r="C179" s="112"/>
      <c r="D179" s="63"/>
      <c r="E179" s="63"/>
      <c r="F179" s="63"/>
      <c r="G179" s="112"/>
      <c r="H179" s="112"/>
      <c r="I179" s="112"/>
      <c r="J179" s="112"/>
      <c r="K179" s="112"/>
      <c r="L179" s="112"/>
      <c r="M179" s="112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15.75" hidden="1" customHeight="1" x14ac:dyDescent="0.25">
      <c r="A180" s="63"/>
      <c r="B180" s="63"/>
      <c r="C180" s="112"/>
      <c r="D180" s="63"/>
      <c r="E180" s="63"/>
      <c r="F180" s="63"/>
      <c r="G180" s="112"/>
      <c r="H180" s="112"/>
      <c r="I180" s="112"/>
      <c r="J180" s="112"/>
      <c r="K180" s="112"/>
      <c r="L180" s="112"/>
      <c r="M180" s="112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15.75" hidden="1" customHeight="1" x14ac:dyDescent="0.25">
      <c r="A181" s="63"/>
      <c r="B181" s="63"/>
      <c r="C181" s="112"/>
      <c r="D181" s="63"/>
      <c r="E181" s="63"/>
      <c r="F181" s="63"/>
      <c r="G181" s="112"/>
      <c r="H181" s="112"/>
      <c r="I181" s="112"/>
      <c r="J181" s="112"/>
      <c r="K181" s="112"/>
      <c r="L181" s="112"/>
      <c r="M181" s="112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15.75" hidden="1" customHeight="1" x14ac:dyDescent="0.25">
      <c r="A182" s="63"/>
      <c r="B182" s="63"/>
      <c r="C182" s="112"/>
      <c r="D182" s="63"/>
      <c r="E182" s="63"/>
      <c r="F182" s="63"/>
      <c r="G182" s="112"/>
      <c r="H182" s="112"/>
      <c r="I182" s="112"/>
      <c r="J182" s="112"/>
      <c r="K182" s="112"/>
      <c r="L182" s="112"/>
      <c r="M182" s="112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15.75" hidden="1" customHeight="1" x14ac:dyDescent="0.25">
      <c r="A183" s="63"/>
      <c r="B183" s="63"/>
      <c r="C183" s="112"/>
      <c r="D183" s="63"/>
      <c r="E183" s="63"/>
      <c r="F183" s="63"/>
      <c r="G183" s="112"/>
      <c r="H183" s="112"/>
      <c r="I183" s="112"/>
      <c r="J183" s="112"/>
      <c r="K183" s="112"/>
      <c r="L183" s="112"/>
      <c r="M183" s="112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15.75" hidden="1" customHeight="1" x14ac:dyDescent="0.25">
      <c r="A184" s="63"/>
      <c r="B184" s="63"/>
      <c r="C184" s="112"/>
      <c r="D184" s="63"/>
      <c r="E184" s="63"/>
      <c r="F184" s="63"/>
      <c r="G184" s="112"/>
      <c r="H184" s="112"/>
      <c r="I184" s="112"/>
      <c r="J184" s="112"/>
      <c r="K184" s="112"/>
      <c r="L184" s="112"/>
      <c r="M184" s="112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15.75" hidden="1" customHeight="1" x14ac:dyDescent="0.25">
      <c r="A185" s="63"/>
      <c r="B185" s="63"/>
      <c r="C185" s="112"/>
      <c r="D185" s="63"/>
      <c r="E185" s="63"/>
      <c r="F185" s="63"/>
      <c r="G185" s="112"/>
      <c r="H185" s="112"/>
      <c r="I185" s="112"/>
      <c r="J185" s="112"/>
      <c r="K185" s="112"/>
      <c r="L185" s="112"/>
      <c r="M185" s="112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15.75" hidden="1" customHeight="1" x14ac:dyDescent="0.25">
      <c r="A186" s="63"/>
      <c r="B186" s="63"/>
      <c r="C186" s="112"/>
      <c r="D186" s="63"/>
      <c r="E186" s="63"/>
      <c r="F186" s="63"/>
      <c r="G186" s="112"/>
      <c r="H186" s="112"/>
      <c r="I186" s="112"/>
      <c r="J186" s="112"/>
      <c r="K186" s="112"/>
      <c r="L186" s="112"/>
      <c r="M186" s="112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15.75" hidden="1" customHeight="1" x14ac:dyDescent="0.25">
      <c r="A187" s="63"/>
      <c r="B187" s="63"/>
      <c r="C187" s="112"/>
      <c r="D187" s="63"/>
      <c r="E187" s="63"/>
      <c r="F187" s="63"/>
      <c r="G187" s="112"/>
      <c r="H187" s="112"/>
      <c r="I187" s="112"/>
      <c r="J187" s="112"/>
      <c r="K187" s="112"/>
      <c r="L187" s="112"/>
      <c r="M187" s="112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15.75" hidden="1" customHeight="1" x14ac:dyDescent="0.25">
      <c r="A188" s="63"/>
      <c r="B188" s="63"/>
      <c r="C188" s="112"/>
      <c r="D188" s="63"/>
      <c r="E188" s="63"/>
      <c r="F188" s="63"/>
      <c r="G188" s="112"/>
      <c r="H188" s="112"/>
      <c r="I188" s="112"/>
      <c r="J188" s="112"/>
      <c r="K188" s="112"/>
      <c r="L188" s="112"/>
      <c r="M188" s="112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15.75" hidden="1" customHeight="1" x14ac:dyDescent="0.25">
      <c r="A189" s="63"/>
      <c r="B189" s="63"/>
      <c r="C189" s="112"/>
      <c r="D189" s="63"/>
      <c r="E189" s="63"/>
      <c r="F189" s="63"/>
      <c r="G189" s="112"/>
      <c r="H189" s="112"/>
      <c r="I189" s="112"/>
      <c r="J189" s="112"/>
      <c r="K189" s="112"/>
      <c r="L189" s="112"/>
      <c r="M189" s="112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15.75" hidden="1" customHeight="1" x14ac:dyDescent="0.25">
      <c r="A190" s="63"/>
      <c r="B190" s="63"/>
      <c r="C190" s="112"/>
      <c r="D190" s="63"/>
      <c r="E190" s="63"/>
      <c r="F190" s="63"/>
      <c r="G190" s="112"/>
      <c r="H190" s="112"/>
      <c r="I190" s="112"/>
      <c r="J190" s="112"/>
      <c r="K190" s="112"/>
      <c r="L190" s="112"/>
      <c r="M190" s="112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15.75" hidden="1" customHeight="1" x14ac:dyDescent="0.25">
      <c r="A191" s="63"/>
      <c r="B191" s="63"/>
      <c r="C191" s="112"/>
      <c r="D191" s="63"/>
      <c r="E191" s="63"/>
      <c r="F191" s="63"/>
      <c r="G191" s="112"/>
      <c r="H191" s="112"/>
      <c r="I191" s="112"/>
      <c r="J191" s="112"/>
      <c r="K191" s="112"/>
      <c r="L191" s="112"/>
      <c r="M191" s="112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15.75" hidden="1" customHeight="1" x14ac:dyDescent="0.25">
      <c r="A192" s="63"/>
      <c r="B192" s="63"/>
      <c r="C192" s="112"/>
      <c r="D192" s="63"/>
      <c r="E192" s="63"/>
      <c r="F192" s="63"/>
      <c r="G192" s="112"/>
      <c r="H192" s="112"/>
      <c r="I192" s="112"/>
      <c r="J192" s="112"/>
      <c r="K192" s="112"/>
      <c r="L192" s="112"/>
      <c r="M192" s="112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15.75" hidden="1" customHeight="1" x14ac:dyDescent="0.25">
      <c r="A193" s="63"/>
      <c r="B193" s="63"/>
      <c r="C193" s="112"/>
      <c r="D193" s="63"/>
      <c r="E193" s="63"/>
      <c r="F193" s="63"/>
      <c r="G193" s="112"/>
      <c r="H193" s="112"/>
      <c r="I193" s="112"/>
      <c r="J193" s="112"/>
      <c r="K193" s="112"/>
      <c r="L193" s="112"/>
      <c r="M193" s="112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15.75" hidden="1" customHeight="1" x14ac:dyDescent="0.25">
      <c r="A194" s="63"/>
      <c r="B194" s="63"/>
      <c r="C194" s="112"/>
      <c r="D194" s="63"/>
      <c r="E194" s="63"/>
      <c r="F194" s="63"/>
      <c r="G194" s="112"/>
      <c r="H194" s="112"/>
      <c r="I194" s="112"/>
      <c r="J194" s="112"/>
      <c r="K194" s="112"/>
      <c r="L194" s="112"/>
      <c r="M194" s="112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15.75" hidden="1" customHeight="1" x14ac:dyDescent="0.25">
      <c r="A195" s="63"/>
      <c r="B195" s="63"/>
      <c r="C195" s="112"/>
      <c r="D195" s="63"/>
      <c r="E195" s="63"/>
      <c r="F195" s="63"/>
      <c r="G195" s="112"/>
      <c r="H195" s="112"/>
      <c r="I195" s="112"/>
      <c r="J195" s="112"/>
      <c r="K195" s="112"/>
      <c r="L195" s="112"/>
      <c r="M195" s="112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5.75" hidden="1" customHeight="1" x14ac:dyDescent="0.25">
      <c r="A196" s="63"/>
      <c r="B196" s="63"/>
      <c r="C196" s="112"/>
      <c r="D196" s="63"/>
      <c r="E196" s="63"/>
      <c r="F196" s="63"/>
      <c r="G196" s="112"/>
      <c r="H196" s="112"/>
      <c r="I196" s="112"/>
      <c r="J196" s="112"/>
      <c r="K196" s="112"/>
      <c r="L196" s="112"/>
      <c r="M196" s="112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15.75" hidden="1" customHeight="1" x14ac:dyDescent="0.25">
      <c r="A197" s="63"/>
      <c r="B197" s="63"/>
      <c r="C197" s="112"/>
      <c r="D197" s="63"/>
      <c r="E197" s="63"/>
      <c r="F197" s="63"/>
      <c r="G197" s="112"/>
      <c r="H197" s="112"/>
      <c r="I197" s="112"/>
      <c r="J197" s="112"/>
      <c r="K197" s="112"/>
      <c r="L197" s="112"/>
      <c r="M197" s="112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15.75" hidden="1" customHeight="1" x14ac:dyDescent="0.25">
      <c r="A198" s="63"/>
      <c r="B198" s="63"/>
      <c r="C198" s="112"/>
      <c r="D198" s="63"/>
      <c r="E198" s="63"/>
      <c r="F198" s="63"/>
      <c r="G198" s="112"/>
      <c r="H198" s="112"/>
      <c r="I198" s="112"/>
      <c r="J198" s="112"/>
      <c r="K198" s="112"/>
      <c r="L198" s="112"/>
      <c r="M198" s="112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15.75" hidden="1" customHeight="1" x14ac:dyDescent="0.25">
      <c r="A199" s="63"/>
      <c r="B199" s="63"/>
      <c r="C199" s="112"/>
      <c r="D199" s="63"/>
      <c r="E199" s="63"/>
      <c r="F199" s="63"/>
      <c r="G199" s="112"/>
      <c r="H199" s="112"/>
      <c r="I199" s="112"/>
      <c r="J199" s="112"/>
      <c r="K199" s="112"/>
      <c r="L199" s="112"/>
      <c r="M199" s="112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15.75" hidden="1" customHeight="1" x14ac:dyDescent="0.25">
      <c r="A200" s="63"/>
      <c r="B200" s="63"/>
      <c r="C200" s="112"/>
      <c r="D200" s="63"/>
      <c r="E200" s="63"/>
      <c r="F200" s="63"/>
      <c r="G200" s="112"/>
      <c r="H200" s="112"/>
      <c r="I200" s="112"/>
      <c r="J200" s="112"/>
      <c r="K200" s="112"/>
      <c r="L200" s="112"/>
      <c r="M200" s="112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15.75" hidden="1" customHeight="1" x14ac:dyDescent="0.25">
      <c r="A201" s="63"/>
      <c r="B201" s="63"/>
      <c r="C201" s="112"/>
      <c r="D201" s="63"/>
      <c r="E201" s="63"/>
      <c r="F201" s="63"/>
      <c r="G201" s="112"/>
      <c r="H201" s="112"/>
      <c r="I201" s="112"/>
      <c r="J201" s="112"/>
      <c r="K201" s="112"/>
      <c r="L201" s="112"/>
      <c r="M201" s="112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15.75" hidden="1" customHeight="1" x14ac:dyDescent="0.25">
      <c r="A202" s="63"/>
      <c r="B202" s="63"/>
      <c r="C202" s="112"/>
      <c r="D202" s="63"/>
      <c r="E202" s="63"/>
      <c r="F202" s="63"/>
      <c r="G202" s="112"/>
      <c r="H202" s="112"/>
      <c r="I202" s="112"/>
      <c r="J202" s="112"/>
      <c r="K202" s="112"/>
      <c r="L202" s="112"/>
      <c r="M202" s="112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15.75" hidden="1" customHeight="1" x14ac:dyDescent="0.25">
      <c r="A203" s="63"/>
      <c r="B203" s="63"/>
      <c r="C203" s="112"/>
      <c r="D203" s="63"/>
      <c r="E203" s="63"/>
      <c r="F203" s="63"/>
      <c r="G203" s="112"/>
      <c r="H203" s="112"/>
      <c r="I203" s="112"/>
      <c r="J203" s="112"/>
      <c r="K203" s="112"/>
      <c r="L203" s="112"/>
      <c r="M203" s="112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15.75" hidden="1" customHeight="1" x14ac:dyDescent="0.25">
      <c r="A204" s="63"/>
      <c r="B204" s="63"/>
      <c r="C204" s="112"/>
      <c r="D204" s="63"/>
      <c r="E204" s="63"/>
      <c r="F204" s="63"/>
      <c r="G204" s="112"/>
      <c r="H204" s="112"/>
      <c r="I204" s="112"/>
      <c r="J204" s="112"/>
      <c r="K204" s="112"/>
      <c r="L204" s="112"/>
      <c r="M204" s="112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15.75" hidden="1" customHeight="1" x14ac:dyDescent="0.25">
      <c r="A205" s="63"/>
      <c r="B205" s="63"/>
      <c r="C205" s="112"/>
      <c r="D205" s="63"/>
      <c r="E205" s="63"/>
      <c r="F205" s="63"/>
      <c r="G205" s="112"/>
      <c r="H205" s="112"/>
      <c r="I205" s="112"/>
      <c r="J205" s="112"/>
      <c r="K205" s="112"/>
      <c r="L205" s="112"/>
      <c r="M205" s="112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15.75" hidden="1" customHeight="1" x14ac:dyDescent="0.25">
      <c r="A206" s="63"/>
      <c r="B206" s="63"/>
      <c r="C206" s="112"/>
      <c r="D206" s="63"/>
      <c r="E206" s="63"/>
      <c r="F206" s="63"/>
      <c r="G206" s="112"/>
      <c r="H206" s="112"/>
      <c r="I206" s="112"/>
      <c r="J206" s="112"/>
      <c r="K206" s="112"/>
      <c r="L206" s="112"/>
      <c r="M206" s="112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15.75" hidden="1" customHeight="1" x14ac:dyDescent="0.25">
      <c r="A207" s="63"/>
      <c r="B207" s="63"/>
      <c r="C207" s="112"/>
      <c r="D207" s="63"/>
      <c r="E207" s="63"/>
      <c r="F207" s="63"/>
      <c r="G207" s="112"/>
      <c r="H207" s="112"/>
      <c r="I207" s="112"/>
      <c r="J207" s="112"/>
      <c r="K207" s="112"/>
      <c r="L207" s="112"/>
      <c r="M207" s="112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15.75" hidden="1" customHeight="1" x14ac:dyDescent="0.25">
      <c r="A208" s="63"/>
      <c r="B208" s="63"/>
      <c r="C208" s="112"/>
      <c r="D208" s="63"/>
      <c r="E208" s="63"/>
      <c r="F208" s="63"/>
      <c r="G208" s="112"/>
      <c r="H208" s="112"/>
      <c r="I208" s="112"/>
      <c r="J208" s="112"/>
      <c r="K208" s="112"/>
      <c r="L208" s="112"/>
      <c r="M208" s="112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15.75" hidden="1" customHeight="1" x14ac:dyDescent="0.25">
      <c r="A209" s="63"/>
      <c r="B209" s="63"/>
      <c r="C209" s="112"/>
      <c r="D209" s="63"/>
      <c r="E209" s="63"/>
      <c r="F209" s="63"/>
      <c r="G209" s="112"/>
      <c r="H209" s="112"/>
      <c r="I209" s="112"/>
      <c r="J209" s="112"/>
      <c r="K209" s="112"/>
      <c r="L209" s="112"/>
      <c r="M209" s="112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15.75" hidden="1" customHeight="1" x14ac:dyDescent="0.25">
      <c r="A210" s="63"/>
      <c r="B210" s="63"/>
      <c r="C210" s="112"/>
      <c r="D210" s="63"/>
      <c r="E210" s="63"/>
      <c r="F210" s="63"/>
      <c r="G210" s="112"/>
      <c r="H210" s="112"/>
      <c r="I210" s="112"/>
      <c r="J210" s="112"/>
      <c r="K210" s="112"/>
      <c r="L210" s="112"/>
      <c r="M210" s="112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15.75" hidden="1" customHeight="1" x14ac:dyDescent="0.25">
      <c r="A211" s="63"/>
      <c r="B211" s="63"/>
      <c r="C211" s="112"/>
      <c r="D211" s="63"/>
      <c r="E211" s="63"/>
      <c r="F211" s="63"/>
      <c r="G211" s="112"/>
      <c r="H211" s="112"/>
      <c r="I211" s="112"/>
      <c r="J211" s="112"/>
      <c r="K211" s="112"/>
      <c r="L211" s="112"/>
      <c r="M211" s="112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15.75" hidden="1" customHeight="1" x14ac:dyDescent="0.25">
      <c r="A212" s="63"/>
      <c r="B212" s="63"/>
      <c r="C212" s="112"/>
      <c r="D212" s="63"/>
      <c r="E212" s="63"/>
      <c r="F212" s="63"/>
      <c r="G212" s="112"/>
      <c r="H212" s="112"/>
      <c r="I212" s="112"/>
      <c r="J212" s="112"/>
      <c r="K212" s="112"/>
      <c r="L212" s="112"/>
      <c r="M212" s="112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15.75" hidden="1" customHeight="1" x14ac:dyDescent="0.25">
      <c r="A213" s="63"/>
      <c r="B213" s="63"/>
      <c r="C213" s="112"/>
      <c r="D213" s="63"/>
      <c r="E213" s="63"/>
      <c r="F213" s="63"/>
      <c r="G213" s="112"/>
      <c r="H213" s="112"/>
      <c r="I213" s="112"/>
      <c r="J213" s="112"/>
      <c r="K213" s="112"/>
      <c r="L213" s="112"/>
      <c r="M213" s="112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15.75" hidden="1" customHeight="1" x14ac:dyDescent="0.25">
      <c r="A214" s="63"/>
      <c r="B214" s="63"/>
      <c r="C214" s="112"/>
      <c r="D214" s="63"/>
      <c r="E214" s="63"/>
      <c r="F214" s="63"/>
      <c r="G214" s="112"/>
      <c r="H214" s="112"/>
      <c r="I214" s="112"/>
      <c r="J214" s="112"/>
      <c r="K214" s="112"/>
      <c r="L214" s="112"/>
      <c r="M214" s="112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15.75" hidden="1" customHeight="1" x14ac:dyDescent="0.25">
      <c r="A215" s="63"/>
      <c r="B215" s="63"/>
      <c r="C215" s="112"/>
      <c r="D215" s="63"/>
      <c r="E215" s="63"/>
      <c r="F215" s="63"/>
      <c r="G215" s="112"/>
      <c r="H215" s="112"/>
      <c r="I215" s="112"/>
      <c r="J215" s="112"/>
      <c r="K215" s="112"/>
      <c r="L215" s="112"/>
      <c r="M215" s="112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5.75" hidden="1" customHeight="1" x14ac:dyDescent="0.25">
      <c r="A216" s="63"/>
      <c r="B216" s="63"/>
      <c r="C216" s="112"/>
      <c r="D216" s="63"/>
      <c r="E216" s="63"/>
      <c r="F216" s="63"/>
      <c r="G216" s="112"/>
      <c r="H216" s="112"/>
      <c r="I216" s="112"/>
      <c r="J216" s="112"/>
      <c r="K216" s="112"/>
      <c r="L216" s="112"/>
      <c r="M216" s="112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15.75" hidden="1" customHeight="1" x14ac:dyDescent="0.25">
      <c r="A217" s="63"/>
      <c r="B217" s="63"/>
      <c r="C217" s="112"/>
      <c r="D217" s="63"/>
      <c r="E217" s="63"/>
      <c r="F217" s="63"/>
      <c r="G217" s="112"/>
      <c r="H217" s="112"/>
      <c r="I217" s="112"/>
      <c r="J217" s="112"/>
      <c r="K217" s="112"/>
      <c r="L217" s="112"/>
      <c r="M217" s="112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15.75" hidden="1" customHeight="1" x14ac:dyDescent="0.25">
      <c r="A218" s="63"/>
      <c r="B218" s="63"/>
      <c r="C218" s="112"/>
      <c r="D218" s="63"/>
      <c r="E218" s="63"/>
      <c r="F218" s="63"/>
      <c r="G218" s="112"/>
      <c r="H218" s="112"/>
      <c r="I218" s="112"/>
      <c r="J218" s="112"/>
      <c r="K218" s="112"/>
      <c r="L218" s="112"/>
      <c r="M218" s="112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15.75" hidden="1" customHeight="1" x14ac:dyDescent="0.25">
      <c r="A219" s="63"/>
      <c r="B219" s="63"/>
      <c r="C219" s="112"/>
      <c r="D219" s="63"/>
      <c r="E219" s="63"/>
      <c r="F219" s="63"/>
      <c r="G219" s="112"/>
      <c r="H219" s="112"/>
      <c r="I219" s="112"/>
      <c r="J219" s="112"/>
      <c r="K219" s="112"/>
      <c r="L219" s="112"/>
      <c r="M219" s="112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5.75" hidden="1" customHeight="1" x14ac:dyDescent="0.25">
      <c r="A220" s="63"/>
      <c r="B220" s="63"/>
      <c r="C220" s="112"/>
      <c r="D220" s="63"/>
      <c r="E220" s="63"/>
      <c r="F220" s="63"/>
      <c r="G220" s="112"/>
      <c r="H220" s="112"/>
      <c r="I220" s="112"/>
      <c r="J220" s="112"/>
      <c r="K220" s="112"/>
      <c r="L220" s="112"/>
      <c r="M220" s="112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5.75" hidden="1" customHeight="1" x14ac:dyDescent="0.25">
      <c r="A221" s="63"/>
      <c r="B221" s="63"/>
      <c r="C221" s="112"/>
      <c r="D221" s="63"/>
      <c r="E221" s="63"/>
      <c r="F221" s="63"/>
      <c r="G221" s="112"/>
      <c r="H221" s="112"/>
      <c r="I221" s="112"/>
      <c r="J221" s="112"/>
      <c r="K221" s="112"/>
      <c r="L221" s="112"/>
      <c r="M221" s="112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5.75" hidden="1" customHeight="1" x14ac:dyDescent="0.25">
      <c r="A222" s="63"/>
      <c r="B222" s="63"/>
      <c r="C222" s="112"/>
      <c r="D222" s="63"/>
      <c r="E222" s="63"/>
      <c r="F222" s="63"/>
      <c r="G222" s="112"/>
      <c r="H222" s="112"/>
      <c r="I222" s="112"/>
      <c r="J222" s="112"/>
      <c r="K222" s="112"/>
      <c r="L222" s="112"/>
      <c r="M222" s="112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5.75" hidden="1" customHeight="1" x14ac:dyDescent="0.25">
      <c r="A223" s="63"/>
      <c r="B223" s="63"/>
      <c r="C223" s="112"/>
      <c r="D223" s="63"/>
      <c r="E223" s="63"/>
      <c r="F223" s="63"/>
      <c r="G223" s="112"/>
      <c r="H223" s="112"/>
      <c r="I223" s="112"/>
      <c r="J223" s="112"/>
      <c r="K223" s="112"/>
      <c r="L223" s="112"/>
      <c r="M223" s="112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5.75" hidden="1" customHeight="1" x14ac:dyDescent="0.25">
      <c r="A224" s="63"/>
      <c r="B224" s="63"/>
      <c r="C224" s="112"/>
      <c r="D224" s="63"/>
      <c r="E224" s="63"/>
      <c r="F224" s="63"/>
      <c r="G224" s="112"/>
      <c r="H224" s="112"/>
      <c r="I224" s="112"/>
      <c r="J224" s="112"/>
      <c r="K224" s="112"/>
      <c r="L224" s="112"/>
      <c r="M224" s="112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5.75" hidden="1" customHeight="1" x14ac:dyDescent="0.25">
      <c r="A225" s="63"/>
      <c r="B225" s="63"/>
      <c r="C225" s="112"/>
      <c r="D225" s="63"/>
      <c r="E225" s="63"/>
      <c r="F225" s="63"/>
      <c r="G225" s="112"/>
      <c r="H225" s="112"/>
      <c r="I225" s="112"/>
      <c r="J225" s="112"/>
      <c r="K225" s="112"/>
      <c r="L225" s="112"/>
      <c r="M225" s="112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5.75" hidden="1" customHeight="1" x14ac:dyDescent="0.25">
      <c r="A226" s="63"/>
      <c r="B226" s="63"/>
      <c r="C226" s="112"/>
      <c r="D226" s="63"/>
      <c r="E226" s="63"/>
      <c r="F226" s="63"/>
      <c r="G226" s="112"/>
      <c r="H226" s="112"/>
      <c r="I226" s="112"/>
      <c r="J226" s="112"/>
      <c r="K226" s="112"/>
      <c r="L226" s="112"/>
      <c r="M226" s="112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8">
    <mergeCell ref="D19:E19"/>
    <mergeCell ref="B26:E26"/>
    <mergeCell ref="B4:E4"/>
    <mergeCell ref="G4:M4"/>
    <mergeCell ref="B5:E5"/>
    <mergeCell ref="H5:J5"/>
    <mergeCell ref="K5:M5"/>
    <mergeCell ref="B6:E6"/>
  </mergeCells>
  <conditionalFormatting sqref="C19">
    <cfRule type="cellIs" dxfId="5" priority="1" operator="greaterThan">
      <formula>1</formula>
    </cfRule>
    <cfRule type="cellIs" dxfId="4" priority="2" operator="equal">
      <formula>1</formula>
    </cfRule>
    <cfRule type="cellIs" dxfId="3" priority="3" operator="greaterThan">
      <formula>1</formula>
    </cfRule>
    <cfRule type="cellIs" dxfId="2" priority="4" operator="lessThan">
      <formula>1</formula>
    </cfRule>
  </conditionalFormatting>
  <conditionalFormatting sqref="D17">
    <cfRule type="cellIs" dxfId="1" priority="5" operator="equal">
      <formula>"Terlambat"</formula>
    </cfRule>
    <cfRule type="cellIs" dxfId="0" priority="6" operator="equal">
      <formula>"Tepat Waktu"</formula>
    </cfRule>
  </conditionalFormatting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"/>
  <sheetViews>
    <sheetView zoomScale="80" zoomScaleNormal="80" workbookViewId="0">
      <selection activeCell="L12" sqref="L12"/>
    </sheetView>
  </sheetViews>
  <sheetFormatPr defaultRowHeight="15" x14ac:dyDescent="0.25"/>
  <cols>
    <col min="2" max="2" width="13.85546875" bestFit="1" customWidth="1"/>
    <col min="3" max="3" width="15.5703125" bestFit="1" customWidth="1"/>
    <col min="4" max="4" width="19.5703125" style="45" customWidth="1"/>
    <col min="5" max="5" width="17.28515625" style="44" customWidth="1"/>
    <col min="6" max="11" width="6.5703125" customWidth="1"/>
    <col min="12" max="14" width="17.5703125" style="45" customWidth="1"/>
    <col min="15" max="15" width="12.5703125" bestFit="1" customWidth="1"/>
    <col min="16" max="16" width="14.42578125" bestFit="1" customWidth="1"/>
    <col min="17" max="17" width="14.140625" customWidth="1"/>
    <col min="18" max="18" width="14.140625" style="45" customWidth="1"/>
    <col min="19" max="19" width="14.85546875" style="45" customWidth="1"/>
    <col min="20" max="20" width="13.7109375" style="45" customWidth="1"/>
    <col min="23" max="23" width="13.140625" style="44" customWidth="1"/>
    <col min="24" max="25" width="8" style="44" bestFit="1" customWidth="1"/>
    <col min="26" max="26" width="8.42578125" style="44" bestFit="1" customWidth="1"/>
    <col min="27" max="27" width="10.85546875" customWidth="1"/>
    <col min="28" max="28" width="14.140625" customWidth="1"/>
  </cols>
  <sheetData>
    <row r="1" spans="1:29" ht="18.75" x14ac:dyDescent="0.3">
      <c r="A1" s="13" t="s">
        <v>26</v>
      </c>
      <c r="B1" s="13"/>
      <c r="C1" s="13"/>
      <c r="D1" s="46"/>
      <c r="E1" s="42"/>
    </row>
    <row r="2" spans="1:29" s="38" customFormat="1" ht="18.75" x14ac:dyDescent="0.3">
      <c r="A2" s="131" t="s">
        <v>27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</row>
    <row r="4" spans="1:29" ht="35.1" customHeight="1" x14ac:dyDescent="0.25">
      <c r="A4" s="129" t="s">
        <v>28</v>
      </c>
      <c r="B4" s="133" t="s">
        <v>29</v>
      </c>
      <c r="C4" s="134"/>
      <c r="D4" s="135"/>
      <c r="E4" s="43"/>
      <c r="F4" s="133" t="s">
        <v>30</v>
      </c>
      <c r="G4" s="134"/>
      <c r="H4" s="135"/>
      <c r="I4" s="133" t="s">
        <v>31</v>
      </c>
      <c r="J4" s="134"/>
      <c r="K4" s="135"/>
      <c r="L4" s="136" t="s">
        <v>32</v>
      </c>
      <c r="M4" s="137"/>
      <c r="N4" s="138"/>
      <c r="O4" s="136" t="s">
        <v>33</v>
      </c>
      <c r="P4" s="137"/>
      <c r="Q4" s="138"/>
      <c r="R4" s="136" t="s">
        <v>34</v>
      </c>
      <c r="S4" s="137"/>
      <c r="T4" s="138"/>
      <c r="U4" s="133" t="s">
        <v>35</v>
      </c>
      <c r="V4" s="134"/>
      <c r="W4" s="135"/>
      <c r="X4" s="139" t="s">
        <v>36</v>
      </c>
      <c r="Y4" s="140"/>
      <c r="Z4" s="141"/>
      <c r="AA4" s="129" t="s">
        <v>37</v>
      </c>
      <c r="AB4" s="129" t="s">
        <v>38</v>
      </c>
    </row>
    <row r="5" spans="1:29" ht="17.25" x14ac:dyDescent="0.25">
      <c r="A5" s="132"/>
      <c r="B5" s="52">
        <v>51</v>
      </c>
      <c r="C5" s="52">
        <v>52</v>
      </c>
      <c r="D5" s="53">
        <v>53</v>
      </c>
      <c r="E5" s="54" t="s">
        <v>39</v>
      </c>
      <c r="F5" s="52">
        <v>51</v>
      </c>
      <c r="G5" s="52">
        <v>52</v>
      </c>
      <c r="H5" s="52">
        <v>53</v>
      </c>
      <c r="I5" s="52">
        <v>51</v>
      </c>
      <c r="J5" s="52">
        <v>52</v>
      </c>
      <c r="K5" s="52">
        <v>53</v>
      </c>
      <c r="L5" s="53">
        <v>51</v>
      </c>
      <c r="M5" s="53">
        <v>52</v>
      </c>
      <c r="N5" s="53">
        <v>53</v>
      </c>
      <c r="O5" s="53">
        <v>51</v>
      </c>
      <c r="P5" s="53">
        <v>52</v>
      </c>
      <c r="Q5" s="53">
        <v>53</v>
      </c>
      <c r="R5" s="53">
        <v>51</v>
      </c>
      <c r="S5" s="53">
        <v>52</v>
      </c>
      <c r="T5" s="53">
        <v>53</v>
      </c>
      <c r="U5" s="52">
        <v>51</v>
      </c>
      <c r="V5" s="52">
        <v>52</v>
      </c>
      <c r="W5" s="53">
        <v>53</v>
      </c>
      <c r="X5" s="53">
        <v>51</v>
      </c>
      <c r="Y5" s="53">
        <v>52</v>
      </c>
      <c r="Z5" s="53">
        <v>53</v>
      </c>
      <c r="AA5" s="130"/>
      <c r="AB5" s="130"/>
    </row>
    <row r="6" spans="1:29" ht="17.25" x14ac:dyDescent="0.25">
      <c r="A6" s="130"/>
      <c r="B6" s="31">
        <v>1</v>
      </c>
      <c r="C6" s="31">
        <v>2</v>
      </c>
      <c r="D6" s="31">
        <v>3</v>
      </c>
      <c r="E6" s="31">
        <v>4</v>
      </c>
      <c r="F6" s="31">
        <v>5</v>
      </c>
      <c r="G6" s="31">
        <v>6</v>
      </c>
      <c r="H6" s="31">
        <v>7</v>
      </c>
      <c r="I6" s="31">
        <v>11</v>
      </c>
      <c r="J6" s="31">
        <v>12</v>
      </c>
      <c r="K6" s="31">
        <v>13</v>
      </c>
      <c r="L6" s="31">
        <v>8</v>
      </c>
      <c r="M6" s="31">
        <v>9</v>
      </c>
      <c r="N6" s="31">
        <v>10</v>
      </c>
      <c r="O6" s="31">
        <v>14</v>
      </c>
      <c r="P6" s="31">
        <v>15</v>
      </c>
      <c r="Q6" s="31">
        <v>16</v>
      </c>
      <c r="R6" s="31">
        <v>17</v>
      </c>
      <c r="S6" s="31">
        <v>18</v>
      </c>
      <c r="T6" s="31">
        <v>19</v>
      </c>
      <c r="U6" s="31">
        <v>20</v>
      </c>
      <c r="V6" s="31">
        <v>21</v>
      </c>
      <c r="W6" s="31">
        <v>22</v>
      </c>
      <c r="X6" s="31">
        <v>23</v>
      </c>
      <c r="Y6" s="31">
        <v>24</v>
      </c>
      <c r="Z6" s="31">
        <v>25</v>
      </c>
      <c r="AA6" s="31">
        <v>26</v>
      </c>
      <c r="AB6" s="31">
        <v>27</v>
      </c>
    </row>
    <row r="7" spans="1:29" ht="17.25" x14ac:dyDescent="0.3">
      <c r="A7" s="26" t="s">
        <v>40</v>
      </c>
      <c r="B7" s="41">
        <v>348488000</v>
      </c>
      <c r="C7" s="41">
        <v>2191888000</v>
      </c>
      <c r="D7" s="41"/>
      <c r="E7" s="56">
        <f>SUM(B7:D7)</f>
        <v>2540376000</v>
      </c>
      <c r="F7" s="27">
        <v>20</v>
      </c>
      <c r="G7" s="27">
        <v>15</v>
      </c>
      <c r="H7" s="27">
        <v>10</v>
      </c>
      <c r="I7" s="36">
        <f t="shared" ref="I7:I18" si="0">(B7/E7)*100</f>
        <v>13.717969308480319</v>
      </c>
      <c r="J7" s="36">
        <f t="shared" ref="J7:J18" si="1">(C7/E7)*100</f>
        <v>86.28203069151968</v>
      </c>
      <c r="K7" s="36">
        <f t="shared" ref="K7:K18" si="2">(D7/E7)*100</f>
        <v>0</v>
      </c>
      <c r="L7" s="40">
        <f t="shared" ref="L7:L18" si="3">B7*F7/100</f>
        <v>69697600</v>
      </c>
      <c r="M7" s="40">
        <f t="shared" ref="M7:M18" si="4">C7*G7/100</f>
        <v>328783200</v>
      </c>
      <c r="N7" s="40">
        <f>D7*H7/100</f>
        <v>0</v>
      </c>
      <c r="O7" s="41">
        <v>0</v>
      </c>
      <c r="P7" s="41">
        <v>31405819</v>
      </c>
      <c r="Q7" s="50"/>
      <c r="R7" s="51">
        <f>O7</f>
        <v>0</v>
      </c>
      <c r="S7" s="51">
        <f>P7</f>
        <v>31405819</v>
      </c>
      <c r="T7" s="51">
        <f>Q7</f>
        <v>0</v>
      </c>
      <c r="U7" s="32">
        <f t="shared" ref="U7:U18" si="5">IF(R7/L7&gt;1,100,(R7/L7*100))</f>
        <v>0</v>
      </c>
      <c r="V7" s="32">
        <f t="shared" ref="V7:V18" si="6">IF(S7/M7&gt;1,100,(S7/M7*100))</f>
        <v>9.55213617970748</v>
      </c>
      <c r="W7" s="47" t="str">
        <f>IFERROR(IF(T7/N7&gt;1,100,(T7/N7*100)),"0")</f>
        <v>0</v>
      </c>
      <c r="X7" s="48">
        <f t="shared" ref="X7:X18" si="7">U7*I7/100</f>
        <v>0</v>
      </c>
      <c r="Y7" s="48">
        <f t="shared" ref="Y7:Y18" si="8">V7*J7/100</f>
        <v>8.2417770702709632</v>
      </c>
      <c r="Z7" s="48">
        <f>W7*K7/100</f>
        <v>0</v>
      </c>
      <c r="AA7" s="34">
        <f>SUM(X7:Z7)</f>
        <v>8.2417770702709632</v>
      </c>
      <c r="AB7" s="34">
        <f>AA7</f>
        <v>8.2417770702709632</v>
      </c>
    </row>
    <row r="8" spans="1:29" ht="17.25" x14ac:dyDescent="0.3">
      <c r="A8" s="26" t="s">
        <v>41</v>
      </c>
      <c r="B8" s="41">
        <v>348488000</v>
      </c>
      <c r="C8" s="41">
        <v>2191888000</v>
      </c>
      <c r="D8" s="41"/>
      <c r="E8" s="56">
        <f t="shared" ref="E8:E12" si="9">SUM(B8:D8)</f>
        <v>2540376000</v>
      </c>
      <c r="F8" s="27">
        <v>20</v>
      </c>
      <c r="G8" s="27">
        <v>15</v>
      </c>
      <c r="H8" s="27">
        <v>10</v>
      </c>
      <c r="I8" s="36">
        <f t="shared" si="0"/>
        <v>13.717969308480319</v>
      </c>
      <c r="J8" s="36">
        <f t="shared" si="1"/>
        <v>86.28203069151968</v>
      </c>
      <c r="K8" s="36">
        <f t="shared" si="2"/>
        <v>0</v>
      </c>
      <c r="L8" s="40">
        <f t="shared" si="3"/>
        <v>69697600</v>
      </c>
      <c r="M8" s="40">
        <f t="shared" si="4"/>
        <v>328783200</v>
      </c>
      <c r="N8" s="40">
        <f t="shared" ref="N8:N18" si="10">D8*H8/100</f>
        <v>0</v>
      </c>
      <c r="O8" s="41">
        <v>25182000</v>
      </c>
      <c r="P8" s="41">
        <v>136433961</v>
      </c>
      <c r="Q8" s="50"/>
      <c r="R8" s="51">
        <f>R7+O8</f>
        <v>25182000</v>
      </c>
      <c r="S8" s="51">
        <f>S7+P8</f>
        <v>167839780</v>
      </c>
      <c r="T8" s="51">
        <f>Q8+T7</f>
        <v>0</v>
      </c>
      <c r="U8" s="32">
        <f t="shared" si="5"/>
        <v>36.130368907968133</v>
      </c>
      <c r="V8" s="32">
        <f t="shared" si="6"/>
        <v>51.048770131807217</v>
      </c>
      <c r="W8" s="47" t="str">
        <f t="shared" ref="W8:W18" si="11">IFERROR(IF(T8/N8&gt;1,100,(T8/N8*100)),"0")</f>
        <v>0</v>
      </c>
      <c r="X8" s="48">
        <f t="shared" si="7"/>
        <v>4.9563529178357841</v>
      </c>
      <c r="Y8" s="48">
        <f t="shared" si="8"/>
        <v>44.045915512769234</v>
      </c>
      <c r="Z8" s="48">
        <f t="shared" ref="Z8:Z18" si="12">W8*K8/100</f>
        <v>0</v>
      </c>
      <c r="AA8" s="34">
        <f>SUM(X8:Z8)</f>
        <v>49.002268430605021</v>
      </c>
      <c r="AB8" s="34">
        <f>AA8</f>
        <v>49.002268430605021</v>
      </c>
    </row>
    <row r="9" spans="1:29" ht="17.25" x14ac:dyDescent="0.3">
      <c r="A9" s="28" t="s">
        <v>42</v>
      </c>
      <c r="B9" s="41">
        <v>348488000</v>
      </c>
      <c r="C9" s="41">
        <v>2191888000</v>
      </c>
      <c r="D9" s="41"/>
      <c r="E9" s="56">
        <f t="shared" si="9"/>
        <v>2540376000</v>
      </c>
      <c r="F9" s="27">
        <v>20</v>
      </c>
      <c r="G9" s="27">
        <v>15</v>
      </c>
      <c r="H9" s="27">
        <v>10</v>
      </c>
      <c r="I9" s="36">
        <f t="shared" si="0"/>
        <v>13.717969308480319</v>
      </c>
      <c r="J9" s="36">
        <f t="shared" si="1"/>
        <v>86.28203069151968</v>
      </c>
      <c r="K9" s="36">
        <f t="shared" si="2"/>
        <v>0</v>
      </c>
      <c r="L9" s="40">
        <f t="shared" si="3"/>
        <v>69697600</v>
      </c>
      <c r="M9" s="40">
        <f t="shared" si="4"/>
        <v>328783200</v>
      </c>
      <c r="N9" s="40">
        <f t="shared" si="10"/>
        <v>0</v>
      </c>
      <c r="O9" s="41">
        <v>23805000</v>
      </c>
      <c r="P9" s="41">
        <v>184462016</v>
      </c>
      <c r="Q9" s="50"/>
      <c r="R9" s="51">
        <f t="shared" ref="R9:R18" si="13">R8+O9</f>
        <v>48987000</v>
      </c>
      <c r="S9" s="51">
        <f>S8+P9</f>
        <v>352301796</v>
      </c>
      <c r="T9" s="51">
        <f t="shared" ref="T9:T18" si="14">Q9+T8</f>
        <v>0</v>
      </c>
      <c r="U9" s="32">
        <f t="shared" si="5"/>
        <v>70.285060030761457</v>
      </c>
      <c r="V9" s="32">
        <f t="shared" si="6"/>
        <v>100</v>
      </c>
      <c r="W9" s="47" t="str">
        <f t="shared" si="11"/>
        <v>0</v>
      </c>
      <c r="X9" s="48">
        <f t="shared" si="7"/>
        <v>9.641682963466824</v>
      </c>
      <c r="Y9" s="48">
        <f t="shared" si="8"/>
        <v>86.28203069151968</v>
      </c>
      <c r="Z9" s="48">
        <f t="shared" si="12"/>
        <v>0</v>
      </c>
      <c r="AA9" s="34">
        <f t="shared" ref="AA9:AA18" si="15">SUM(X9:Z9)</f>
        <v>95.9237136549865</v>
      </c>
      <c r="AB9" s="55">
        <v>100</v>
      </c>
      <c r="AC9" s="58" t="s">
        <v>43</v>
      </c>
    </row>
    <row r="10" spans="1:29" ht="17.25" x14ac:dyDescent="0.3">
      <c r="A10" s="26" t="s">
        <v>44</v>
      </c>
      <c r="B10" s="41">
        <v>348488000</v>
      </c>
      <c r="C10" s="41">
        <v>2191888000</v>
      </c>
      <c r="D10" s="41"/>
      <c r="E10" s="56">
        <f t="shared" si="9"/>
        <v>2540376000</v>
      </c>
      <c r="F10" s="27">
        <v>50</v>
      </c>
      <c r="G10" s="27">
        <v>50</v>
      </c>
      <c r="H10" s="27">
        <v>40</v>
      </c>
      <c r="I10" s="36">
        <f t="shared" si="0"/>
        <v>13.717969308480319</v>
      </c>
      <c r="J10" s="36">
        <f t="shared" si="1"/>
        <v>86.28203069151968</v>
      </c>
      <c r="K10" s="36">
        <f t="shared" si="2"/>
        <v>0</v>
      </c>
      <c r="L10" s="40">
        <f t="shared" si="3"/>
        <v>174244000</v>
      </c>
      <c r="M10" s="40">
        <f t="shared" si="4"/>
        <v>1095944000</v>
      </c>
      <c r="N10" s="40">
        <f t="shared" si="10"/>
        <v>0</v>
      </c>
      <c r="O10" s="41">
        <v>26773000</v>
      </c>
      <c r="P10" s="41">
        <v>142980382</v>
      </c>
      <c r="Q10" s="50"/>
      <c r="R10" s="51">
        <f t="shared" si="13"/>
        <v>75760000</v>
      </c>
      <c r="S10" s="51">
        <f t="shared" ref="S10:S18" si="16">S9+P10</f>
        <v>495282178</v>
      </c>
      <c r="T10" s="51">
        <f t="shared" si="14"/>
        <v>0</v>
      </c>
      <c r="U10" s="32">
        <f t="shared" si="5"/>
        <v>43.479258970179743</v>
      </c>
      <c r="V10" s="32">
        <f t="shared" si="6"/>
        <v>45.192288839575745</v>
      </c>
      <c r="W10" s="47" t="str">
        <f t="shared" si="11"/>
        <v>0</v>
      </c>
      <c r="X10" s="48">
        <f t="shared" si="7"/>
        <v>5.9644714010839337</v>
      </c>
      <c r="Y10" s="48">
        <f t="shared" si="8"/>
        <v>38.992824526762966</v>
      </c>
      <c r="Z10" s="48">
        <f t="shared" si="12"/>
        <v>0</v>
      </c>
      <c r="AA10" s="34">
        <f>SUM(X10:Z10)</f>
        <v>44.9572959278469</v>
      </c>
      <c r="AB10" s="34">
        <f>AVERAGE($AB$9,AA10)</f>
        <v>72.47864796392345</v>
      </c>
    </row>
    <row r="11" spans="1:29" ht="17.25" x14ac:dyDescent="0.3">
      <c r="A11" s="26" t="s">
        <v>45</v>
      </c>
      <c r="B11" s="41">
        <v>348488000</v>
      </c>
      <c r="C11" s="41">
        <v>2191888000</v>
      </c>
      <c r="D11" s="41"/>
      <c r="E11" s="56">
        <f t="shared" si="9"/>
        <v>2540376000</v>
      </c>
      <c r="F11" s="27">
        <v>50</v>
      </c>
      <c r="G11" s="27">
        <v>50</v>
      </c>
      <c r="H11" s="27">
        <v>40</v>
      </c>
      <c r="I11" s="36">
        <f t="shared" si="0"/>
        <v>13.717969308480319</v>
      </c>
      <c r="J11" s="36">
        <f t="shared" si="1"/>
        <v>86.28203069151968</v>
      </c>
      <c r="K11" s="36">
        <f t="shared" si="2"/>
        <v>0</v>
      </c>
      <c r="L11" s="40">
        <f t="shared" si="3"/>
        <v>174244000</v>
      </c>
      <c r="M11" s="40">
        <f t="shared" si="4"/>
        <v>1095944000</v>
      </c>
      <c r="N11" s="40">
        <f t="shared" si="10"/>
        <v>0</v>
      </c>
      <c r="O11" s="41">
        <v>19587000</v>
      </c>
      <c r="P11" s="41">
        <v>239130000</v>
      </c>
      <c r="Q11" s="50"/>
      <c r="R11" s="51">
        <f t="shared" si="13"/>
        <v>95347000</v>
      </c>
      <c r="S11" s="51">
        <f t="shared" si="16"/>
        <v>734412178</v>
      </c>
      <c r="T11" s="51">
        <f t="shared" si="14"/>
        <v>0</v>
      </c>
      <c r="U11" s="32">
        <f t="shared" si="5"/>
        <v>54.720392093845419</v>
      </c>
      <c r="V11" s="32">
        <f t="shared" si="6"/>
        <v>67.011834363799608</v>
      </c>
      <c r="W11" s="47" t="str">
        <f t="shared" si="11"/>
        <v>0</v>
      </c>
      <c r="X11" s="48">
        <f t="shared" si="7"/>
        <v>7.5065265929138061</v>
      </c>
      <c r="Y11" s="48">
        <f t="shared" si="8"/>
        <v>57.81917149272391</v>
      </c>
      <c r="Z11" s="48">
        <f t="shared" si="12"/>
        <v>0</v>
      </c>
      <c r="AA11" s="34">
        <f t="shared" si="15"/>
        <v>65.325698085637711</v>
      </c>
      <c r="AB11" s="34">
        <f>AVERAGE($AB$9,AA11)</f>
        <v>82.662849042818863</v>
      </c>
    </row>
    <row r="12" spans="1:29" ht="17.25" x14ac:dyDescent="0.3">
      <c r="A12" s="28" t="s">
        <v>46</v>
      </c>
      <c r="B12" s="41">
        <v>348488000</v>
      </c>
      <c r="C12" s="41">
        <v>2191888000</v>
      </c>
      <c r="D12" s="41"/>
      <c r="E12" s="56">
        <f t="shared" si="9"/>
        <v>2540376000</v>
      </c>
      <c r="F12" s="27">
        <v>50</v>
      </c>
      <c r="G12" s="27">
        <v>50</v>
      </c>
      <c r="H12" s="27">
        <v>40</v>
      </c>
      <c r="I12" s="36">
        <f t="shared" si="0"/>
        <v>13.717969308480319</v>
      </c>
      <c r="J12" s="36">
        <f t="shared" si="1"/>
        <v>86.28203069151968</v>
      </c>
      <c r="K12" s="36">
        <f t="shared" si="2"/>
        <v>0</v>
      </c>
      <c r="L12" s="40">
        <f t="shared" si="3"/>
        <v>174244000</v>
      </c>
      <c r="M12" s="40">
        <f t="shared" si="4"/>
        <v>1095944000</v>
      </c>
      <c r="N12" s="40">
        <f t="shared" si="10"/>
        <v>0</v>
      </c>
      <c r="O12" s="41">
        <v>25000000</v>
      </c>
      <c r="P12" s="41">
        <v>378530000</v>
      </c>
      <c r="Q12" s="50"/>
      <c r="R12" s="51">
        <f t="shared" si="13"/>
        <v>120347000</v>
      </c>
      <c r="S12" s="51">
        <f t="shared" si="16"/>
        <v>1112942178</v>
      </c>
      <c r="T12" s="51">
        <f t="shared" si="14"/>
        <v>0</v>
      </c>
      <c r="U12" s="32">
        <f t="shared" si="5"/>
        <v>69.068088427722046</v>
      </c>
      <c r="V12" s="32">
        <f t="shared" si="6"/>
        <v>100</v>
      </c>
      <c r="W12" s="47" t="str">
        <f t="shared" si="11"/>
        <v>0</v>
      </c>
      <c r="X12" s="48">
        <f t="shared" si="7"/>
        <v>9.474739172468956</v>
      </c>
      <c r="Y12" s="48">
        <f t="shared" si="8"/>
        <v>86.28203069151968</v>
      </c>
      <c r="Z12" s="48">
        <f t="shared" si="12"/>
        <v>0</v>
      </c>
      <c r="AA12" s="34">
        <f t="shared" si="15"/>
        <v>95.756769863988637</v>
      </c>
      <c r="AB12" s="35">
        <f>AVERAGE($AB$9,AA12)</f>
        <v>97.878384931994319</v>
      </c>
    </row>
    <row r="13" spans="1:29" ht="17.25" x14ac:dyDescent="0.3">
      <c r="A13" s="26" t="s">
        <v>47</v>
      </c>
      <c r="B13" s="41">
        <v>348488000</v>
      </c>
      <c r="C13" s="41">
        <v>2191888000</v>
      </c>
      <c r="D13" s="41"/>
      <c r="E13" s="56">
        <f t="shared" ref="E13:E18" si="17">SUM(B13:D13)</f>
        <v>2540376000</v>
      </c>
      <c r="F13" s="27">
        <v>75</v>
      </c>
      <c r="G13" s="27">
        <v>70</v>
      </c>
      <c r="H13" s="27">
        <v>70</v>
      </c>
      <c r="I13" s="36">
        <f t="shared" si="0"/>
        <v>13.717969308480319</v>
      </c>
      <c r="J13" s="36">
        <f t="shared" si="1"/>
        <v>86.28203069151968</v>
      </c>
      <c r="K13" s="36">
        <f t="shared" si="2"/>
        <v>0</v>
      </c>
      <c r="L13" s="40">
        <f t="shared" si="3"/>
        <v>261366000</v>
      </c>
      <c r="M13" s="40">
        <f t="shared" si="4"/>
        <v>1534321600</v>
      </c>
      <c r="N13" s="40">
        <f t="shared" si="10"/>
        <v>0</v>
      </c>
      <c r="O13" s="41">
        <v>29040000</v>
      </c>
      <c r="P13" s="41">
        <v>208575000</v>
      </c>
      <c r="Q13" s="50"/>
      <c r="R13" s="51">
        <f t="shared" si="13"/>
        <v>149387000</v>
      </c>
      <c r="S13" s="51">
        <f t="shared" si="16"/>
        <v>1321517178</v>
      </c>
      <c r="T13" s="51">
        <f t="shared" si="14"/>
        <v>0</v>
      </c>
      <c r="U13" s="32">
        <f t="shared" si="5"/>
        <v>57.156248326102101</v>
      </c>
      <c r="V13" s="32">
        <f t="shared" si="6"/>
        <v>86.130390004285928</v>
      </c>
      <c r="W13" s="47" t="str">
        <f t="shared" si="11"/>
        <v>0</v>
      </c>
      <c r="X13" s="48">
        <f t="shared" si="7"/>
        <v>7.840676603253482</v>
      </c>
      <c r="Y13" s="48">
        <f t="shared" si="8"/>
        <v>74.31504953822359</v>
      </c>
      <c r="Z13" s="48">
        <f t="shared" si="12"/>
        <v>0</v>
      </c>
      <c r="AA13" s="34">
        <f t="shared" si="15"/>
        <v>82.155726141477075</v>
      </c>
      <c r="AB13" s="34">
        <f>AVERAGE($AB$12,AA13)</f>
        <v>90.017055536735697</v>
      </c>
    </row>
    <row r="14" spans="1:29" ht="17.25" x14ac:dyDescent="0.3">
      <c r="A14" s="26" t="s">
        <v>48</v>
      </c>
      <c r="B14" s="41">
        <v>348488000</v>
      </c>
      <c r="C14" s="41">
        <v>2191888000</v>
      </c>
      <c r="D14" s="41"/>
      <c r="E14" s="56">
        <f t="shared" si="17"/>
        <v>2540376000</v>
      </c>
      <c r="F14" s="27">
        <v>75</v>
      </c>
      <c r="G14" s="27">
        <v>70</v>
      </c>
      <c r="H14" s="27">
        <v>70</v>
      </c>
      <c r="I14" s="36">
        <f t="shared" si="0"/>
        <v>13.717969308480319</v>
      </c>
      <c r="J14" s="36">
        <f t="shared" si="1"/>
        <v>86.28203069151968</v>
      </c>
      <c r="K14" s="36">
        <f t="shared" si="2"/>
        <v>0</v>
      </c>
      <c r="L14" s="40">
        <f t="shared" si="3"/>
        <v>261366000</v>
      </c>
      <c r="M14" s="40">
        <f t="shared" si="4"/>
        <v>1534321600</v>
      </c>
      <c r="N14" s="40">
        <f t="shared" si="10"/>
        <v>0</v>
      </c>
      <c r="O14" s="41">
        <v>29040000</v>
      </c>
      <c r="P14" s="41">
        <v>178575000</v>
      </c>
      <c r="Q14" s="50"/>
      <c r="R14" s="51">
        <f t="shared" si="13"/>
        <v>178427000</v>
      </c>
      <c r="S14" s="51">
        <f t="shared" si="16"/>
        <v>1500092178</v>
      </c>
      <c r="T14" s="51">
        <f t="shared" si="14"/>
        <v>0</v>
      </c>
      <c r="U14" s="32">
        <f t="shared" si="5"/>
        <v>68.267104367056163</v>
      </c>
      <c r="V14" s="32">
        <f t="shared" si="6"/>
        <v>97.769084264993737</v>
      </c>
      <c r="W14" s="47" t="str">
        <f t="shared" si="11"/>
        <v>0</v>
      </c>
      <c r="X14" s="48">
        <f t="shared" si="7"/>
        <v>9.3648604248609928</v>
      </c>
      <c r="Y14" s="48">
        <f t="shared" si="8"/>
        <v>84.357151292339637</v>
      </c>
      <c r="Z14" s="48">
        <f t="shared" si="12"/>
        <v>0</v>
      </c>
      <c r="AA14" s="34">
        <f t="shared" si="15"/>
        <v>93.72201171720063</v>
      </c>
      <c r="AB14" s="34">
        <f t="shared" ref="AB14" si="18">AVERAGE($AB$12,AA14)</f>
        <v>95.800198324597474</v>
      </c>
    </row>
    <row r="15" spans="1:29" ht="17.25" x14ac:dyDescent="0.3">
      <c r="A15" s="28" t="s">
        <v>49</v>
      </c>
      <c r="B15" s="41">
        <v>348488000</v>
      </c>
      <c r="C15" s="41">
        <v>2191888000</v>
      </c>
      <c r="D15" s="41"/>
      <c r="E15" s="56">
        <f t="shared" si="17"/>
        <v>2540376000</v>
      </c>
      <c r="F15" s="27">
        <v>75</v>
      </c>
      <c r="G15" s="27">
        <v>70</v>
      </c>
      <c r="H15" s="27">
        <v>70</v>
      </c>
      <c r="I15" s="36">
        <f t="shared" si="0"/>
        <v>13.717969308480319</v>
      </c>
      <c r="J15" s="36">
        <f t="shared" si="1"/>
        <v>86.28203069151968</v>
      </c>
      <c r="K15" s="36">
        <f t="shared" si="2"/>
        <v>0</v>
      </c>
      <c r="L15" s="40">
        <f t="shared" si="3"/>
        <v>261366000</v>
      </c>
      <c r="M15" s="40">
        <f t="shared" si="4"/>
        <v>1534321600</v>
      </c>
      <c r="N15" s="40">
        <f t="shared" si="10"/>
        <v>0</v>
      </c>
      <c r="O15" s="41">
        <v>29040000</v>
      </c>
      <c r="P15" s="41">
        <v>178575000</v>
      </c>
      <c r="Q15" s="50"/>
      <c r="R15" s="51">
        <f t="shared" si="13"/>
        <v>207467000</v>
      </c>
      <c r="S15" s="51">
        <f t="shared" si="16"/>
        <v>1678667178</v>
      </c>
      <c r="T15" s="51">
        <f t="shared" si="14"/>
        <v>0</v>
      </c>
      <c r="U15" s="32">
        <f t="shared" si="5"/>
        <v>79.377960408010225</v>
      </c>
      <c r="V15" s="32">
        <f t="shared" si="6"/>
        <v>100</v>
      </c>
      <c r="W15" s="47" t="str">
        <f t="shared" si="11"/>
        <v>0</v>
      </c>
      <c r="X15" s="48">
        <f t="shared" si="7"/>
        <v>10.889044246468503</v>
      </c>
      <c r="Y15" s="48">
        <f t="shared" si="8"/>
        <v>86.28203069151968</v>
      </c>
      <c r="Z15" s="48">
        <f t="shared" si="12"/>
        <v>0</v>
      </c>
      <c r="AA15" s="34">
        <f t="shared" si="15"/>
        <v>97.17107493798818</v>
      </c>
      <c r="AB15" s="35">
        <f>AVERAGE($AB$12,AA15)</f>
        <v>97.524729934991257</v>
      </c>
    </row>
    <row r="16" spans="1:29" ht="17.25" x14ac:dyDescent="0.3">
      <c r="A16" s="26" t="s">
        <v>50</v>
      </c>
      <c r="B16" s="41">
        <v>348488000</v>
      </c>
      <c r="C16" s="41">
        <v>2191888000</v>
      </c>
      <c r="D16" s="41"/>
      <c r="E16" s="56">
        <f>SUM(B16:D16)</f>
        <v>2540376000</v>
      </c>
      <c r="F16" s="27">
        <v>95</v>
      </c>
      <c r="G16" s="27">
        <v>90</v>
      </c>
      <c r="H16" s="27">
        <v>90</v>
      </c>
      <c r="I16" s="36">
        <f t="shared" si="0"/>
        <v>13.717969308480319</v>
      </c>
      <c r="J16" s="36">
        <f t="shared" si="1"/>
        <v>86.28203069151968</v>
      </c>
      <c r="K16" s="36">
        <f t="shared" si="2"/>
        <v>0</v>
      </c>
      <c r="L16" s="40">
        <f t="shared" si="3"/>
        <v>331063600</v>
      </c>
      <c r="M16" s="40">
        <f t="shared" si="4"/>
        <v>1972699200</v>
      </c>
      <c r="N16" s="40">
        <f t="shared" si="10"/>
        <v>0</v>
      </c>
      <c r="O16" s="41">
        <v>29040000</v>
      </c>
      <c r="P16" s="41">
        <v>178575000</v>
      </c>
      <c r="Q16" s="50"/>
      <c r="R16" s="51">
        <f t="shared" si="13"/>
        <v>236507000</v>
      </c>
      <c r="S16" s="51">
        <f t="shared" si="16"/>
        <v>1857242178</v>
      </c>
      <c r="T16" s="51">
        <f t="shared" si="14"/>
        <v>0</v>
      </c>
      <c r="U16" s="32">
        <f t="shared" si="5"/>
        <v>71.438539301813904</v>
      </c>
      <c r="V16" s="32">
        <f t="shared" si="6"/>
        <v>94.147256611651684</v>
      </c>
      <c r="W16" s="47" t="str">
        <f t="shared" si="11"/>
        <v>0</v>
      </c>
      <c r="X16" s="48">
        <f t="shared" si="7"/>
        <v>9.7999168958494813</v>
      </c>
      <c r="Y16" s="48">
        <f t="shared" si="8"/>
        <v>81.232164844889098</v>
      </c>
      <c r="Z16" s="48">
        <f t="shared" si="12"/>
        <v>0</v>
      </c>
      <c r="AA16" s="34">
        <f t="shared" si="15"/>
        <v>91.032081740738576</v>
      </c>
      <c r="AB16" s="34">
        <f>AVERAGE($AB$15,AA16)</f>
        <v>94.278405837864909</v>
      </c>
    </row>
    <row r="17" spans="1:28" ht="17.25" x14ac:dyDescent="0.3">
      <c r="A17" s="26" t="s">
        <v>51</v>
      </c>
      <c r="B17" s="41">
        <v>348488000</v>
      </c>
      <c r="C17" s="41">
        <v>2191888000</v>
      </c>
      <c r="D17" s="41"/>
      <c r="E17" s="56">
        <f t="shared" si="17"/>
        <v>2540376000</v>
      </c>
      <c r="F17" s="27">
        <v>95</v>
      </c>
      <c r="G17" s="27">
        <v>90</v>
      </c>
      <c r="H17" s="27">
        <v>90</v>
      </c>
      <c r="I17" s="36">
        <f t="shared" si="0"/>
        <v>13.717969308480319</v>
      </c>
      <c r="J17" s="36">
        <f t="shared" si="1"/>
        <v>86.28203069151968</v>
      </c>
      <c r="K17" s="36">
        <f t="shared" si="2"/>
        <v>0</v>
      </c>
      <c r="L17" s="40">
        <f t="shared" si="3"/>
        <v>331063600</v>
      </c>
      <c r="M17" s="40">
        <f t="shared" si="4"/>
        <v>1972699200</v>
      </c>
      <c r="N17" s="40">
        <f t="shared" si="10"/>
        <v>0</v>
      </c>
      <c r="O17" s="41">
        <v>29040000</v>
      </c>
      <c r="P17" s="41">
        <v>178575000</v>
      </c>
      <c r="Q17" s="50"/>
      <c r="R17" s="51">
        <f t="shared" si="13"/>
        <v>265547000</v>
      </c>
      <c r="S17" s="51">
        <f t="shared" si="16"/>
        <v>2035817178</v>
      </c>
      <c r="T17" s="51">
        <f t="shared" si="14"/>
        <v>0</v>
      </c>
      <c r="U17" s="32">
        <f t="shared" si="5"/>
        <v>80.2102677551987</v>
      </c>
      <c r="V17" s="32">
        <f t="shared" si="6"/>
        <v>100</v>
      </c>
      <c r="W17" s="47" t="str">
        <f t="shared" si="11"/>
        <v>0</v>
      </c>
      <c r="X17" s="48">
        <f t="shared" si="7"/>
        <v>11.003219912908044</v>
      </c>
      <c r="Y17" s="48">
        <f t="shared" si="8"/>
        <v>86.28203069151968</v>
      </c>
      <c r="Z17" s="48">
        <f t="shared" si="12"/>
        <v>0</v>
      </c>
      <c r="AA17" s="34">
        <f t="shared" si="15"/>
        <v>97.285250604427716</v>
      </c>
      <c r="AB17" s="34">
        <f t="shared" ref="AB17" si="19">AVERAGE($AB$15,AA17)</f>
        <v>97.404990269709486</v>
      </c>
    </row>
    <row r="18" spans="1:28" ht="17.25" x14ac:dyDescent="0.3">
      <c r="A18" s="28" t="s">
        <v>52</v>
      </c>
      <c r="B18" s="41">
        <v>348488000</v>
      </c>
      <c r="C18" s="41">
        <v>2191888000</v>
      </c>
      <c r="D18" s="41"/>
      <c r="E18" s="56">
        <f t="shared" si="17"/>
        <v>2540376000</v>
      </c>
      <c r="F18" s="27">
        <v>95</v>
      </c>
      <c r="G18" s="27">
        <v>90</v>
      </c>
      <c r="H18" s="27">
        <v>90</v>
      </c>
      <c r="I18" s="36">
        <f t="shared" si="0"/>
        <v>13.717969308480319</v>
      </c>
      <c r="J18" s="36">
        <f t="shared" si="1"/>
        <v>86.28203069151968</v>
      </c>
      <c r="K18" s="36">
        <f t="shared" si="2"/>
        <v>0</v>
      </c>
      <c r="L18" s="40">
        <f t="shared" si="3"/>
        <v>331063600</v>
      </c>
      <c r="M18" s="40">
        <f t="shared" si="4"/>
        <v>1972699200</v>
      </c>
      <c r="N18" s="40">
        <f t="shared" si="10"/>
        <v>0</v>
      </c>
      <c r="O18" s="41">
        <v>82941000</v>
      </c>
      <c r="P18" s="41">
        <v>156070822</v>
      </c>
      <c r="Q18" s="50"/>
      <c r="R18" s="51">
        <f t="shared" si="13"/>
        <v>348488000</v>
      </c>
      <c r="S18" s="51">
        <f t="shared" si="16"/>
        <v>2191888000</v>
      </c>
      <c r="T18" s="51">
        <f t="shared" si="14"/>
        <v>0</v>
      </c>
      <c r="U18" s="32">
        <f t="shared" si="5"/>
        <v>100</v>
      </c>
      <c r="V18" s="32">
        <f t="shared" si="6"/>
        <v>100</v>
      </c>
      <c r="W18" s="47" t="str">
        <f t="shared" si="11"/>
        <v>0</v>
      </c>
      <c r="X18" s="48">
        <f t="shared" si="7"/>
        <v>13.717969308480319</v>
      </c>
      <c r="Y18" s="48">
        <f t="shared" si="8"/>
        <v>86.28203069151968</v>
      </c>
      <c r="Z18" s="48">
        <f t="shared" si="12"/>
        <v>0</v>
      </c>
      <c r="AA18" s="34">
        <f t="shared" si="15"/>
        <v>100</v>
      </c>
      <c r="AB18" s="35">
        <f>AVERAGE($AB$15,AA18)</f>
        <v>98.762364967495628</v>
      </c>
    </row>
    <row r="19" spans="1:28" x14ac:dyDescent="0.25">
      <c r="O19" s="49">
        <f>SUM(O7:O18)</f>
        <v>348488000</v>
      </c>
      <c r="P19" s="49">
        <f t="shared" ref="P19:Q19" si="20">SUM(P7:P18)</f>
        <v>2191888000</v>
      </c>
      <c r="Q19" s="49">
        <f t="shared" si="20"/>
        <v>0</v>
      </c>
    </row>
    <row r="20" spans="1:28" x14ac:dyDescent="0.25">
      <c r="Q20" s="21"/>
    </row>
    <row r="21" spans="1:28" x14ac:dyDescent="0.25">
      <c r="Q21" s="57"/>
    </row>
  </sheetData>
  <mergeCells count="12">
    <mergeCell ref="AB4:AB5"/>
    <mergeCell ref="A2:AB2"/>
    <mergeCell ref="A4:A6"/>
    <mergeCell ref="B4:D4"/>
    <mergeCell ref="F4:H4"/>
    <mergeCell ref="L4:N4"/>
    <mergeCell ref="I4:K4"/>
    <mergeCell ref="R4:T4"/>
    <mergeCell ref="U4:W4"/>
    <mergeCell ref="X4:Z4"/>
    <mergeCell ref="AA4:AA5"/>
    <mergeCell ref="O4:Q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8"/>
  <sheetViews>
    <sheetView zoomScale="80" zoomScaleNormal="80" workbookViewId="0">
      <selection activeCell="E7" sqref="E7:N18"/>
    </sheetView>
  </sheetViews>
  <sheetFormatPr defaultRowHeight="15" x14ac:dyDescent="0.25"/>
  <cols>
    <col min="2" max="4" width="9.28515625" customWidth="1"/>
    <col min="5" max="5" width="10.28515625" customWidth="1"/>
    <col min="6" max="8" width="6.5703125" customWidth="1"/>
    <col min="12" max="14" width="6.28515625" customWidth="1"/>
  </cols>
  <sheetData>
    <row r="1" spans="1:25" ht="18.75" x14ac:dyDescent="0.3">
      <c r="A1" s="13" t="s">
        <v>26</v>
      </c>
      <c r="B1" s="13"/>
      <c r="C1" s="13"/>
      <c r="D1" s="12"/>
      <c r="E1" s="12"/>
    </row>
    <row r="2" spans="1:25" s="38" customFormat="1" ht="18.75" x14ac:dyDescent="0.3">
      <c r="A2" s="131" t="s">
        <v>27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4" spans="1:25" ht="35.1" customHeight="1" x14ac:dyDescent="0.25">
      <c r="A4" s="129" t="s">
        <v>28</v>
      </c>
      <c r="B4" s="133" t="s">
        <v>29</v>
      </c>
      <c r="C4" s="134"/>
      <c r="D4" s="135"/>
      <c r="E4" s="29"/>
      <c r="F4" s="133" t="s">
        <v>30</v>
      </c>
      <c r="G4" s="134"/>
      <c r="H4" s="135"/>
      <c r="I4" s="133" t="s">
        <v>32</v>
      </c>
      <c r="J4" s="134"/>
      <c r="K4" s="135"/>
      <c r="L4" s="133" t="s">
        <v>31</v>
      </c>
      <c r="M4" s="134"/>
      <c r="N4" s="135"/>
      <c r="O4" s="133" t="s">
        <v>53</v>
      </c>
      <c r="P4" s="134"/>
      <c r="Q4" s="135"/>
      <c r="R4" s="133" t="s">
        <v>54</v>
      </c>
      <c r="S4" s="134"/>
      <c r="T4" s="135"/>
      <c r="U4" s="133" t="s">
        <v>55</v>
      </c>
      <c r="V4" s="134"/>
      <c r="W4" s="135"/>
      <c r="X4" s="129" t="s">
        <v>37</v>
      </c>
      <c r="Y4" s="129" t="s">
        <v>38</v>
      </c>
    </row>
    <row r="5" spans="1:25" ht="34.5" x14ac:dyDescent="0.25">
      <c r="A5" s="132"/>
      <c r="B5" s="30">
        <v>51</v>
      </c>
      <c r="C5" s="30">
        <v>52</v>
      </c>
      <c r="D5" s="30">
        <v>53</v>
      </c>
      <c r="E5" s="30" t="s">
        <v>39</v>
      </c>
      <c r="F5" s="30">
        <v>51</v>
      </c>
      <c r="G5" s="30">
        <v>52</v>
      </c>
      <c r="H5" s="30">
        <v>53</v>
      </c>
      <c r="I5" s="30">
        <v>51</v>
      </c>
      <c r="J5" s="30">
        <v>52</v>
      </c>
      <c r="K5" s="30">
        <v>53</v>
      </c>
      <c r="L5" s="30">
        <v>51</v>
      </c>
      <c r="M5" s="30">
        <v>52</v>
      </c>
      <c r="N5" s="30">
        <v>53</v>
      </c>
      <c r="O5" s="30">
        <v>51</v>
      </c>
      <c r="P5" s="30">
        <v>52</v>
      </c>
      <c r="Q5" s="30">
        <v>53</v>
      </c>
      <c r="R5" s="30">
        <v>51</v>
      </c>
      <c r="S5" s="30">
        <v>52</v>
      </c>
      <c r="T5" s="30">
        <v>53</v>
      </c>
      <c r="U5" s="30">
        <v>51</v>
      </c>
      <c r="V5" s="30">
        <v>52</v>
      </c>
      <c r="W5" s="30">
        <v>53</v>
      </c>
      <c r="X5" s="130"/>
      <c r="Y5" s="130"/>
    </row>
    <row r="6" spans="1:25" ht="17.25" x14ac:dyDescent="0.25">
      <c r="A6" s="130"/>
      <c r="B6" s="31">
        <v>1</v>
      </c>
      <c r="C6" s="31">
        <v>2</v>
      </c>
      <c r="D6" s="31">
        <v>3</v>
      </c>
      <c r="E6" s="31">
        <v>4</v>
      </c>
      <c r="F6" s="31">
        <v>5</v>
      </c>
      <c r="G6" s="31">
        <v>6</v>
      </c>
      <c r="H6" s="31">
        <v>7</v>
      </c>
      <c r="I6" s="31">
        <v>8</v>
      </c>
      <c r="J6" s="31">
        <v>9</v>
      </c>
      <c r="K6" s="31">
        <v>10</v>
      </c>
      <c r="L6" s="31">
        <v>11</v>
      </c>
      <c r="M6" s="31">
        <v>12</v>
      </c>
      <c r="N6" s="31">
        <v>13</v>
      </c>
      <c r="O6" s="31">
        <v>14</v>
      </c>
      <c r="P6" s="31">
        <v>15</v>
      </c>
      <c r="Q6" s="31">
        <v>16</v>
      </c>
      <c r="R6" s="31">
        <v>17</v>
      </c>
      <c r="S6" s="31">
        <v>18</v>
      </c>
      <c r="T6" s="31">
        <v>19</v>
      </c>
      <c r="U6" s="31">
        <v>20</v>
      </c>
      <c r="V6" s="31">
        <v>21</v>
      </c>
      <c r="W6" s="31">
        <v>22</v>
      </c>
      <c r="X6" s="31">
        <v>23</v>
      </c>
      <c r="Y6" s="31">
        <v>24</v>
      </c>
    </row>
    <row r="7" spans="1:25" ht="17.25" x14ac:dyDescent="0.3">
      <c r="A7" s="26" t="s">
        <v>40</v>
      </c>
      <c r="B7" s="39">
        <v>250</v>
      </c>
      <c r="C7" s="39">
        <v>200</v>
      </c>
      <c r="D7" s="39">
        <v>50</v>
      </c>
      <c r="E7" s="37">
        <f>SUM(B7:D7)</f>
        <v>500</v>
      </c>
      <c r="F7" s="27">
        <v>20</v>
      </c>
      <c r="G7" s="27">
        <v>15</v>
      </c>
      <c r="H7" s="27">
        <v>10</v>
      </c>
      <c r="I7" s="40">
        <f>B7*F7/100</f>
        <v>50</v>
      </c>
      <c r="J7" s="40">
        <f>C7*G7/100</f>
        <v>30</v>
      </c>
      <c r="K7" s="40">
        <f>D7*H7/100</f>
        <v>5</v>
      </c>
      <c r="L7" s="36">
        <f>(B7/E7)*100</f>
        <v>50</v>
      </c>
      <c r="M7" s="36">
        <f>(C7/E7)*100</f>
        <v>40</v>
      </c>
      <c r="N7" s="36">
        <f>(D7/E7)*100</f>
        <v>10</v>
      </c>
      <c r="O7" s="39">
        <v>20</v>
      </c>
      <c r="P7" s="39">
        <v>4.5</v>
      </c>
      <c r="Q7" s="39">
        <v>0</v>
      </c>
      <c r="R7" s="32">
        <f>IF(O7/I7&gt;1,100,(O7/I7*100))</f>
        <v>40</v>
      </c>
      <c r="S7" s="32">
        <f>IF(P7/J7&gt;1,100,(P7/J7*100))</f>
        <v>15</v>
      </c>
      <c r="T7" s="32">
        <f>IF(Q7/K7&gt;1,100,(Q7/K7*100))</f>
        <v>0</v>
      </c>
      <c r="U7" s="33">
        <f>R7*L7/100</f>
        <v>20</v>
      </c>
      <c r="V7" s="33">
        <f t="shared" ref="V7:W7" si="0">S7*M7/100</f>
        <v>6</v>
      </c>
      <c r="W7" s="33">
        <f t="shared" si="0"/>
        <v>0</v>
      </c>
      <c r="X7" s="34">
        <f>SUM(U7:W7)</f>
        <v>26</v>
      </c>
      <c r="Y7" s="34">
        <f>X7</f>
        <v>26</v>
      </c>
    </row>
    <row r="8" spans="1:25" ht="17.25" x14ac:dyDescent="0.3">
      <c r="A8" s="26" t="s">
        <v>41</v>
      </c>
      <c r="B8" s="39">
        <v>250</v>
      </c>
      <c r="C8" s="39">
        <v>200</v>
      </c>
      <c r="D8" s="39">
        <v>50</v>
      </c>
      <c r="E8" s="37">
        <f t="shared" ref="E8:E12" si="1">SUM(B8:D8)</f>
        <v>500</v>
      </c>
      <c r="F8" s="27">
        <v>20</v>
      </c>
      <c r="G8" s="27">
        <v>15</v>
      </c>
      <c r="H8" s="27">
        <v>10</v>
      </c>
      <c r="I8" s="40">
        <f t="shared" ref="I8:I12" si="2">B8*F8/100</f>
        <v>50</v>
      </c>
      <c r="J8" s="40">
        <f t="shared" ref="J8:J12" si="3">C8*G8/100</f>
        <v>30</v>
      </c>
      <c r="K8" s="40">
        <f t="shared" ref="K8:K12" si="4">D8*H8/100</f>
        <v>5</v>
      </c>
      <c r="L8" s="36">
        <f t="shared" ref="L8:L12" si="5">(B8/E8)*100</f>
        <v>50</v>
      </c>
      <c r="M8" s="36">
        <f t="shared" ref="M8:M12" si="6">(C8/E8)*100</f>
        <v>40</v>
      </c>
      <c r="N8" s="36">
        <f t="shared" ref="N8:N12" si="7">(D8/E8)*100</f>
        <v>10</v>
      </c>
      <c r="O8" s="39">
        <v>40</v>
      </c>
      <c r="P8" s="39">
        <v>16.5</v>
      </c>
      <c r="Q8" s="39">
        <v>5</v>
      </c>
      <c r="R8" s="32">
        <f t="shared" ref="R8:R12" si="8">IF(O8/I8&gt;1,100,(O8/I8*100))</f>
        <v>80</v>
      </c>
      <c r="S8" s="32">
        <f t="shared" ref="S8:S12" si="9">IF(P8/J8&gt;1,100,(P8/J8*100))</f>
        <v>55.000000000000007</v>
      </c>
      <c r="T8" s="32">
        <f t="shared" ref="T8:T12" si="10">IF(Q8/K8&gt;1,100,(Q8/K8*100))</f>
        <v>100</v>
      </c>
      <c r="U8" s="33">
        <f t="shared" ref="U8:U12" si="11">R8*L8/100</f>
        <v>40</v>
      </c>
      <c r="V8" s="33">
        <f t="shared" ref="V8:V12" si="12">S8*M8/100</f>
        <v>22.000000000000004</v>
      </c>
      <c r="W8" s="33">
        <f t="shared" ref="W8:W12" si="13">T8*N8/100</f>
        <v>10</v>
      </c>
      <c r="X8" s="34">
        <f t="shared" ref="X8:X12" si="14">SUM(U8:W8)</f>
        <v>72</v>
      </c>
      <c r="Y8" s="34">
        <f>X8</f>
        <v>72</v>
      </c>
    </row>
    <row r="9" spans="1:25" ht="17.25" x14ac:dyDescent="0.3">
      <c r="A9" s="28" t="s">
        <v>42</v>
      </c>
      <c r="B9" s="39">
        <v>250</v>
      </c>
      <c r="C9" s="39">
        <v>200</v>
      </c>
      <c r="D9" s="39">
        <v>50</v>
      </c>
      <c r="E9" s="37">
        <f t="shared" si="1"/>
        <v>500</v>
      </c>
      <c r="F9" s="27">
        <v>20</v>
      </c>
      <c r="G9" s="27">
        <v>15</v>
      </c>
      <c r="H9" s="27">
        <v>10</v>
      </c>
      <c r="I9" s="40">
        <f t="shared" si="2"/>
        <v>50</v>
      </c>
      <c r="J9" s="40">
        <f t="shared" si="3"/>
        <v>30</v>
      </c>
      <c r="K9" s="40">
        <f t="shared" si="4"/>
        <v>5</v>
      </c>
      <c r="L9" s="36">
        <f t="shared" si="5"/>
        <v>50</v>
      </c>
      <c r="M9" s="36">
        <f t="shared" si="6"/>
        <v>40</v>
      </c>
      <c r="N9" s="36">
        <f t="shared" si="7"/>
        <v>10</v>
      </c>
      <c r="O9" s="39">
        <v>60</v>
      </c>
      <c r="P9" s="39">
        <v>24.5</v>
      </c>
      <c r="Q9" s="39">
        <v>7</v>
      </c>
      <c r="R9" s="32">
        <f t="shared" si="8"/>
        <v>100</v>
      </c>
      <c r="S9" s="32">
        <f t="shared" si="9"/>
        <v>81.666666666666671</v>
      </c>
      <c r="T9" s="32">
        <f t="shared" si="10"/>
        <v>100</v>
      </c>
      <c r="U9" s="33">
        <f t="shared" si="11"/>
        <v>50</v>
      </c>
      <c r="V9" s="33">
        <f t="shared" si="12"/>
        <v>32.666666666666671</v>
      </c>
      <c r="W9" s="33">
        <f t="shared" si="13"/>
        <v>10</v>
      </c>
      <c r="X9" s="34">
        <f t="shared" si="14"/>
        <v>92.666666666666671</v>
      </c>
      <c r="Y9" s="35">
        <f>X9</f>
        <v>92.666666666666671</v>
      </c>
    </row>
    <row r="10" spans="1:25" ht="17.25" x14ac:dyDescent="0.3">
      <c r="A10" s="26" t="s">
        <v>44</v>
      </c>
      <c r="B10" s="39">
        <v>250</v>
      </c>
      <c r="C10" s="39">
        <v>250</v>
      </c>
      <c r="D10" s="39">
        <v>50</v>
      </c>
      <c r="E10" s="37">
        <f t="shared" si="1"/>
        <v>550</v>
      </c>
      <c r="F10" s="27">
        <v>50</v>
      </c>
      <c r="G10" s="27">
        <v>50</v>
      </c>
      <c r="H10" s="27">
        <v>40</v>
      </c>
      <c r="I10" s="40">
        <f t="shared" si="2"/>
        <v>125</v>
      </c>
      <c r="J10" s="40">
        <f t="shared" si="3"/>
        <v>125</v>
      </c>
      <c r="K10" s="40">
        <f t="shared" si="4"/>
        <v>20</v>
      </c>
      <c r="L10" s="36">
        <f t="shared" si="5"/>
        <v>45.454545454545453</v>
      </c>
      <c r="M10" s="36">
        <f t="shared" si="6"/>
        <v>45.454545454545453</v>
      </c>
      <c r="N10" s="36">
        <f t="shared" si="7"/>
        <v>9.0909090909090917</v>
      </c>
      <c r="O10" s="39">
        <v>102</v>
      </c>
      <c r="P10" s="39">
        <v>29.5</v>
      </c>
      <c r="Q10" s="39">
        <v>12</v>
      </c>
      <c r="R10" s="32">
        <f t="shared" si="8"/>
        <v>81.599999999999994</v>
      </c>
      <c r="S10" s="32">
        <f t="shared" si="9"/>
        <v>23.599999999999998</v>
      </c>
      <c r="T10" s="32">
        <f t="shared" si="10"/>
        <v>60</v>
      </c>
      <c r="U10" s="33">
        <f t="shared" si="11"/>
        <v>37.090909090909086</v>
      </c>
      <c r="V10" s="33">
        <f t="shared" si="12"/>
        <v>10.727272727272725</v>
      </c>
      <c r="W10" s="33">
        <f t="shared" si="13"/>
        <v>5.454545454545455</v>
      </c>
      <c r="X10" s="34">
        <f t="shared" si="14"/>
        <v>53.272727272727266</v>
      </c>
      <c r="Y10" s="34">
        <f>AVERAGE($Y$9,X10)</f>
        <v>72.969696969696969</v>
      </c>
    </row>
    <row r="11" spans="1:25" ht="17.25" x14ac:dyDescent="0.3">
      <c r="A11" s="26" t="s">
        <v>45</v>
      </c>
      <c r="B11" s="39">
        <v>250</v>
      </c>
      <c r="C11" s="39">
        <v>250</v>
      </c>
      <c r="D11" s="39">
        <v>50</v>
      </c>
      <c r="E11" s="37">
        <f t="shared" si="1"/>
        <v>550</v>
      </c>
      <c r="F11" s="27">
        <v>50</v>
      </c>
      <c r="G11" s="27">
        <v>50</v>
      </c>
      <c r="H11" s="27">
        <v>40</v>
      </c>
      <c r="I11" s="40">
        <f t="shared" si="2"/>
        <v>125</v>
      </c>
      <c r="J11" s="40">
        <f t="shared" si="3"/>
        <v>125</v>
      </c>
      <c r="K11" s="40">
        <f t="shared" si="4"/>
        <v>20</v>
      </c>
      <c r="L11" s="36">
        <f t="shared" si="5"/>
        <v>45.454545454545453</v>
      </c>
      <c r="M11" s="36">
        <f t="shared" si="6"/>
        <v>45.454545454545453</v>
      </c>
      <c r="N11" s="36">
        <f t="shared" si="7"/>
        <v>9.0909090909090917</v>
      </c>
      <c r="O11" s="39">
        <v>122</v>
      </c>
      <c r="P11" s="39">
        <v>43.5</v>
      </c>
      <c r="Q11" s="39">
        <v>17</v>
      </c>
      <c r="R11" s="32">
        <f t="shared" si="8"/>
        <v>97.6</v>
      </c>
      <c r="S11" s="32">
        <f t="shared" si="9"/>
        <v>34.799999999999997</v>
      </c>
      <c r="T11" s="32">
        <f t="shared" si="10"/>
        <v>85</v>
      </c>
      <c r="U11" s="33">
        <f t="shared" si="11"/>
        <v>44.36363636363636</v>
      </c>
      <c r="V11" s="33">
        <f t="shared" si="12"/>
        <v>15.818181818181818</v>
      </c>
      <c r="W11" s="33">
        <f t="shared" si="13"/>
        <v>7.7272727272727275</v>
      </c>
      <c r="X11" s="34">
        <f t="shared" si="14"/>
        <v>67.909090909090907</v>
      </c>
      <c r="Y11" s="34">
        <f>AVERAGE($Y$9,X11)</f>
        <v>80.287878787878782</v>
      </c>
    </row>
    <row r="12" spans="1:25" ht="17.25" x14ac:dyDescent="0.3">
      <c r="A12" s="28" t="s">
        <v>46</v>
      </c>
      <c r="B12" s="39">
        <v>250</v>
      </c>
      <c r="C12" s="39">
        <v>250</v>
      </c>
      <c r="D12" s="39">
        <v>50</v>
      </c>
      <c r="E12" s="37">
        <f t="shared" si="1"/>
        <v>550</v>
      </c>
      <c r="F12" s="27">
        <v>50</v>
      </c>
      <c r="G12" s="27">
        <v>50</v>
      </c>
      <c r="H12" s="27">
        <v>40</v>
      </c>
      <c r="I12" s="40">
        <f t="shared" si="2"/>
        <v>125</v>
      </c>
      <c r="J12" s="40">
        <f t="shared" si="3"/>
        <v>125</v>
      </c>
      <c r="K12" s="40">
        <f t="shared" si="4"/>
        <v>20</v>
      </c>
      <c r="L12" s="36">
        <f t="shared" si="5"/>
        <v>45.454545454545453</v>
      </c>
      <c r="M12" s="36">
        <f t="shared" si="6"/>
        <v>45.454545454545453</v>
      </c>
      <c r="N12" s="36">
        <f t="shared" si="7"/>
        <v>9.0909090909090917</v>
      </c>
      <c r="O12" s="39">
        <v>164</v>
      </c>
      <c r="P12" s="39">
        <v>63.5</v>
      </c>
      <c r="Q12" s="39">
        <v>22</v>
      </c>
      <c r="R12" s="32">
        <f t="shared" si="8"/>
        <v>100</v>
      </c>
      <c r="S12" s="32">
        <f t="shared" si="9"/>
        <v>50.8</v>
      </c>
      <c r="T12" s="32">
        <f t="shared" si="10"/>
        <v>100</v>
      </c>
      <c r="U12" s="33">
        <f t="shared" si="11"/>
        <v>45.454545454545453</v>
      </c>
      <c r="V12" s="33">
        <f t="shared" si="12"/>
        <v>23.09090909090909</v>
      </c>
      <c r="W12" s="33">
        <f t="shared" si="13"/>
        <v>9.0909090909090917</v>
      </c>
      <c r="X12" s="34">
        <f t="shared" si="14"/>
        <v>77.63636363636364</v>
      </c>
      <c r="Y12" s="35">
        <f>AVERAGE($Y$9,X12)</f>
        <v>85.151515151515156</v>
      </c>
    </row>
    <row r="13" spans="1:25" ht="17.25" x14ac:dyDescent="0.3">
      <c r="A13" s="26" t="s">
        <v>47</v>
      </c>
      <c r="B13" s="39">
        <v>250</v>
      </c>
      <c r="C13" s="39">
        <v>250</v>
      </c>
      <c r="D13" s="39">
        <v>50</v>
      </c>
      <c r="E13" s="37">
        <f t="shared" ref="E13:E18" si="15">SUM(B13:D13)</f>
        <v>550</v>
      </c>
      <c r="F13" s="27">
        <v>50</v>
      </c>
      <c r="G13" s="27">
        <v>50</v>
      </c>
      <c r="H13" s="27">
        <v>40</v>
      </c>
      <c r="I13" s="40">
        <f t="shared" ref="I13:I18" si="16">B13*F13/100</f>
        <v>125</v>
      </c>
      <c r="J13" s="40">
        <f t="shared" ref="J13:J18" si="17">C13*G13/100</f>
        <v>125</v>
      </c>
      <c r="K13" s="40">
        <f t="shared" ref="K13:K18" si="18">D13*H13/100</f>
        <v>20</v>
      </c>
      <c r="L13" s="36">
        <f t="shared" ref="L13:L18" si="19">(B13/E13)*100</f>
        <v>45.454545454545453</v>
      </c>
      <c r="M13" s="36">
        <f t="shared" ref="M13:M18" si="20">(C13/E13)*100</f>
        <v>45.454545454545453</v>
      </c>
      <c r="N13" s="36">
        <f t="shared" ref="N13:N18" si="21">(D13/E13)*100</f>
        <v>9.0909090909090917</v>
      </c>
      <c r="O13" s="39">
        <v>164</v>
      </c>
      <c r="P13" s="39">
        <v>80</v>
      </c>
      <c r="Q13" s="39">
        <v>25</v>
      </c>
      <c r="R13" s="32">
        <f t="shared" ref="R13:R18" si="22">IF(O13/I13&gt;1,100,(O13/I13*100))</f>
        <v>100</v>
      </c>
      <c r="S13" s="32">
        <f t="shared" ref="S13:S18" si="23">IF(P13/J13&gt;1,100,(P13/J13*100))</f>
        <v>64</v>
      </c>
      <c r="T13" s="32">
        <f t="shared" ref="T13:T18" si="24">IF(Q13/K13&gt;1,100,(Q13/K13*100))</f>
        <v>100</v>
      </c>
      <c r="U13" s="33">
        <f t="shared" ref="U13:U18" si="25">R13*L13/100</f>
        <v>45.454545454545453</v>
      </c>
      <c r="V13" s="33">
        <f t="shared" ref="V13:V18" si="26">S13*M13/100</f>
        <v>29.09090909090909</v>
      </c>
      <c r="W13" s="33">
        <f t="shared" ref="W13:W18" si="27">T13*N13/100</f>
        <v>9.0909090909090917</v>
      </c>
      <c r="X13" s="34">
        <f t="shared" ref="X13:X18" si="28">SUM(U13:W13)</f>
        <v>83.63636363636364</v>
      </c>
      <c r="Y13" s="34">
        <f>AVERAGE($Y$12,X13)</f>
        <v>84.393939393939405</v>
      </c>
    </row>
    <row r="14" spans="1:25" ht="17.25" x14ac:dyDescent="0.3">
      <c r="A14" s="26" t="s">
        <v>48</v>
      </c>
      <c r="B14" s="39">
        <v>250</v>
      </c>
      <c r="C14" s="39">
        <v>250</v>
      </c>
      <c r="D14" s="39">
        <v>50</v>
      </c>
      <c r="E14" s="37">
        <f t="shared" si="15"/>
        <v>550</v>
      </c>
      <c r="F14" s="27">
        <v>50</v>
      </c>
      <c r="G14" s="27">
        <v>50</v>
      </c>
      <c r="H14" s="27">
        <v>40</v>
      </c>
      <c r="I14" s="40">
        <f t="shared" si="16"/>
        <v>125</v>
      </c>
      <c r="J14" s="40">
        <f t="shared" si="17"/>
        <v>125</v>
      </c>
      <c r="K14" s="40">
        <f t="shared" si="18"/>
        <v>20</v>
      </c>
      <c r="L14" s="36">
        <f t="shared" si="19"/>
        <v>45.454545454545453</v>
      </c>
      <c r="M14" s="36">
        <f t="shared" si="20"/>
        <v>45.454545454545453</v>
      </c>
      <c r="N14" s="36">
        <f t="shared" si="21"/>
        <v>9.0909090909090917</v>
      </c>
      <c r="O14" s="39">
        <v>164</v>
      </c>
      <c r="P14" s="39">
        <v>90</v>
      </c>
      <c r="Q14" s="39">
        <v>28</v>
      </c>
      <c r="R14" s="32">
        <f t="shared" si="22"/>
        <v>100</v>
      </c>
      <c r="S14" s="32">
        <f t="shared" si="23"/>
        <v>72</v>
      </c>
      <c r="T14" s="32">
        <f t="shared" si="24"/>
        <v>100</v>
      </c>
      <c r="U14" s="33">
        <f t="shared" si="25"/>
        <v>45.454545454545453</v>
      </c>
      <c r="V14" s="33">
        <f t="shared" si="26"/>
        <v>32.727272727272727</v>
      </c>
      <c r="W14" s="33">
        <f t="shared" si="27"/>
        <v>9.0909090909090917</v>
      </c>
      <c r="X14" s="34">
        <f t="shared" si="28"/>
        <v>87.27272727272728</v>
      </c>
      <c r="Y14" s="34">
        <f t="shared" ref="Y14" si="29">AVERAGE($Y$12,X14)</f>
        <v>86.212121212121218</v>
      </c>
    </row>
    <row r="15" spans="1:25" ht="17.25" x14ac:dyDescent="0.3">
      <c r="A15" s="28" t="s">
        <v>49</v>
      </c>
      <c r="B15" s="39">
        <v>250</v>
      </c>
      <c r="C15" s="39">
        <v>250</v>
      </c>
      <c r="D15" s="39">
        <v>50</v>
      </c>
      <c r="E15" s="37">
        <f t="shared" si="15"/>
        <v>550</v>
      </c>
      <c r="F15" s="27">
        <v>50</v>
      </c>
      <c r="G15" s="27">
        <v>50</v>
      </c>
      <c r="H15" s="27">
        <v>40</v>
      </c>
      <c r="I15" s="40">
        <f t="shared" si="16"/>
        <v>125</v>
      </c>
      <c r="J15" s="40">
        <f t="shared" si="17"/>
        <v>125</v>
      </c>
      <c r="K15" s="40">
        <f t="shared" si="18"/>
        <v>20</v>
      </c>
      <c r="L15" s="36">
        <f t="shared" si="19"/>
        <v>45.454545454545453</v>
      </c>
      <c r="M15" s="36">
        <f t="shared" si="20"/>
        <v>45.454545454545453</v>
      </c>
      <c r="N15" s="36">
        <f t="shared" si="21"/>
        <v>9.0909090909090917</v>
      </c>
      <c r="O15" s="39">
        <v>164</v>
      </c>
      <c r="P15" s="39">
        <v>100</v>
      </c>
      <c r="Q15" s="39">
        <v>31</v>
      </c>
      <c r="R15" s="32">
        <f t="shared" si="22"/>
        <v>100</v>
      </c>
      <c r="S15" s="32">
        <f t="shared" si="23"/>
        <v>80</v>
      </c>
      <c r="T15" s="32">
        <f t="shared" si="24"/>
        <v>100</v>
      </c>
      <c r="U15" s="33">
        <f t="shared" si="25"/>
        <v>45.454545454545453</v>
      </c>
      <c r="V15" s="33">
        <f t="shared" si="26"/>
        <v>36.36363636363636</v>
      </c>
      <c r="W15" s="33">
        <f t="shared" si="27"/>
        <v>9.0909090909090917</v>
      </c>
      <c r="X15" s="34">
        <f t="shared" si="28"/>
        <v>90.909090909090907</v>
      </c>
      <c r="Y15" s="35">
        <f>AVERAGE($Y$12,X15)</f>
        <v>88.030303030303031</v>
      </c>
    </row>
    <row r="16" spans="1:25" ht="17.25" x14ac:dyDescent="0.3">
      <c r="A16" s="26" t="s">
        <v>50</v>
      </c>
      <c r="B16" s="39">
        <v>250</v>
      </c>
      <c r="C16" s="39">
        <v>250</v>
      </c>
      <c r="D16" s="39">
        <v>50</v>
      </c>
      <c r="E16" s="37">
        <f t="shared" si="15"/>
        <v>550</v>
      </c>
      <c r="F16" s="27">
        <v>50</v>
      </c>
      <c r="G16" s="27">
        <v>50</v>
      </c>
      <c r="H16" s="27">
        <v>40</v>
      </c>
      <c r="I16" s="40">
        <f t="shared" si="16"/>
        <v>125</v>
      </c>
      <c r="J16" s="40">
        <f t="shared" si="17"/>
        <v>125</v>
      </c>
      <c r="K16" s="40">
        <f t="shared" si="18"/>
        <v>20</v>
      </c>
      <c r="L16" s="36">
        <f t="shared" si="19"/>
        <v>45.454545454545453</v>
      </c>
      <c r="M16" s="36">
        <f t="shared" si="20"/>
        <v>45.454545454545453</v>
      </c>
      <c r="N16" s="36">
        <f t="shared" si="21"/>
        <v>9.0909090909090917</v>
      </c>
      <c r="O16" s="39">
        <v>164</v>
      </c>
      <c r="P16" s="39">
        <v>110</v>
      </c>
      <c r="Q16" s="39">
        <v>34</v>
      </c>
      <c r="R16" s="32">
        <f t="shared" si="22"/>
        <v>100</v>
      </c>
      <c r="S16" s="32">
        <f t="shared" si="23"/>
        <v>88</v>
      </c>
      <c r="T16" s="32">
        <f t="shared" si="24"/>
        <v>100</v>
      </c>
      <c r="U16" s="33">
        <f t="shared" si="25"/>
        <v>45.454545454545453</v>
      </c>
      <c r="V16" s="33">
        <f t="shared" si="26"/>
        <v>40</v>
      </c>
      <c r="W16" s="33">
        <f t="shared" si="27"/>
        <v>9.0909090909090917</v>
      </c>
      <c r="X16" s="34">
        <f t="shared" si="28"/>
        <v>94.545454545454547</v>
      </c>
      <c r="Y16" s="34">
        <f>AVERAGE($Y$15,X16)</f>
        <v>91.287878787878782</v>
      </c>
    </row>
    <row r="17" spans="1:25" ht="17.25" x14ac:dyDescent="0.3">
      <c r="A17" s="26" t="s">
        <v>51</v>
      </c>
      <c r="B17" s="39">
        <v>250</v>
      </c>
      <c r="C17" s="39">
        <v>250</v>
      </c>
      <c r="D17" s="39">
        <v>50</v>
      </c>
      <c r="E17" s="37">
        <f t="shared" si="15"/>
        <v>550</v>
      </c>
      <c r="F17" s="27">
        <v>50</v>
      </c>
      <c r="G17" s="27">
        <v>50</v>
      </c>
      <c r="H17" s="27">
        <v>40</v>
      </c>
      <c r="I17" s="40">
        <f t="shared" si="16"/>
        <v>125</v>
      </c>
      <c r="J17" s="40">
        <f t="shared" si="17"/>
        <v>125</v>
      </c>
      <c r="K17" s="40">
        <f t="shared" si="18"/>
        <v>20</v>
      </c>
      <c r="L17" s="36">
        <f t="shared" si="19"/>
        <v>45.454545454545453</v>
      </c>
      <c r="M17" s="36">
        <f t="shared" si="20"/>
        <v>45.454545454545453</v>
      </c>
      <c r="N17" s="36">
        <f t="shared" si="21"/>
        <v>9.0909090909090917</v>
      </c>
      <c r="O17" s="39">
        <v>164</v>
      </c>
      <c r="P17" s="39">
        <v>110</v>
      </c>
      <c r="Q17" s="39">
        <v>37</v>
      </c>
      <c r="R17" s="32">
        <f t="shared" si="22"/>
        <v>100</v>
      </c>
      <c r="S17" s="32">
        <f t="shared" si="23"/>
        <v>88</v>
      </c>
      <c r="T17" s="32">
        <f t="shared" si="24"/>
        <v>100</v>
      </c>
      <c r="U17" s="33">
        <f t="shared" si="25"/>
        <v>45.454545454545453</v>
      </c>
      <c r="V17" s="33">
        <f t="shared" si="26"/>
        <v>40</v>
      </c>
      <c r="W17" s="33">
        <f t="shared" si="27"/>
        <v>9.0909090909090917</v>
      </c>
      <c r="X17" s="34">
        <f t="shared" si="28"/>
        <v>94.545454545454547</v>
      </c>
      <c r="Y17" s="34">
        <f t="shared" ref="Y17" si="30">AVERAGE($Y$15,X17)</f>
        <v>91.287878787878782</v>
      </c>
    </row>
    <row r="18" spans="1:25" ht="17.25" x14ac:dyDescent="0.3">
      <c r="A18" s="28" t="s">
        <v>52</v>
      </c>
      <c r="B18" s="39">
        <v>250</v>
      </c>
      <c r="C18" s="39">
        <v>250</v>
      </c>
      <c r="D18" s="39">
        <v>50</v>
      </c>
      <c r="E18" s="37">
        <f t="shared" si="15"/>
        <v>550</v>
      </c>
      <c r="F18" s="27">
        <v>50</v>
      </c>
      <c r="G18" s="27">
        <v>50</v>
      </c>
      <c r="H18" s="27">
        <v>40</v>
      </c>
      <c r="I18" s="40">
        <f t="shared" si="16"/>
        <v>125</v>
      </c>
      <c r="J18" s="40">
        <f t="shared" si="17"/>
        <v>125</v>
      </c>
      <c r="K18" s="40">
        <f t="shared" si="18"/>
        <v>20</v>
      </c>
      <c r="L18" s="36">
        <f t="shared" si="19"/>
        <v>45.454545454545453</v>
      </c>
      <c r="M18" s="36">
        <f t="shared" si="20"/>
        <v>45.454545454545453</v>
      </c>
      <c r="N18" s="36">
        <f t="shared" si="21"/>
        <v>9.0909090909090917</v>
      </c>
      <c r="O18" s="39">
        <v>164</v>
      </c>
      <c r="P18" s="39">
        <v>110</v>
      </c>
      <c r="Q18" s="39">
        <v>40</v>
      </c>
      <c r="R18" s="32">
        <f t="shared" si="22"/>
        <v>100</v>
      </c>
      <c r="S18" s="32">
        <f t="shared" si="23"/>
        <v>88</v>
      </c>
      <c r="T18" s="32">
        <f t="shared" si="24"/>
        <v>100</v>
      </c>
      <c r="U18" s="33">
        <f t="shared" si="25"/>
        <v>45.454545454545453</v>
      </c>
      <c r="V18" s="33">
        <f t="shared" si="26"/>
        <v>40</v>
      </c>
      <c r="W18" s="33">
        <f t="shared" si="27"/>
        <v>9.0909090909090917</v>
      </c>
      <c r="X18" s="34">
        <f t="shared" si="28"/>
        <v>94.545454545454547</v>
      </c>
      <c r="Y18" s="35">
        <f>AVERAGE($Y$15,X18)</f>
        <v>91.287878787878782</v>
      </c>
    </row>
  </sheetData>
  <sheetProtection selectLockedCells="1"/>
  <mergeCells count="11">
    <mergeCell ref="A2:Y2"/>
    <mergeCell ref="R4:T4"/>
    <mergeCell ref="U4:W4"/>
    <mergeCell ref="X4:X5"/>
    <mergeCell ref="Y4:Y5"/>
    <mergeCell ref="A4:A6"/>
    <mergeCell ref="B4:D4"/>
    <mergeCell ref="F4:H4"/>
    <mergeCell ref="I4:K4"/>
    <mergeCell ref="L4:N4"/>
    <mergeCell ref="O4:Q4"/>
  </mergeCells>
  <phoneticPr fontId="1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23"/>
  <sheetViews>
    <sheetView topLeftCell="A7" zoomScale="109" workbookViewId="0">
      <selection activeCell="A4" sqref="A4:J4"/>
    </sheetView>
  </sheetViews>
  <sheetFormatPr defaultRowHeight="15" x14ac:dyDescent="0.25"/>
  <cols>
    <col min="2" max="2" width="19.7109375" customWidth="1"/>
    <col min="3" max="3" width="5.5703125" customWidth="1"/>
    <col min="4" max="4" width="20.85546875" customWidth="1"/>
    <col min="5" max="5" width="6.42578125" customWidth="1"/>
    <col min="6" max="6" width="20.85546875" bestFit="1" customWidth="1"/>
    <col min="7" max="7" width="5.5703125" customWidth="1"/>
    <col min="8" max="8" width="20.7109375" customWidth="1"/>
    <col min="9" max="9" width="5.7109375" customWidth="1"/>
    <col min="10" max="10" width="21.28515625" customWidth="1"/>
    <col min="11" max="11" width="7" customWidth="1"/>
  </cols>
  <sheetData>
    <row r="2" spans="1:10" ht="18.75" x14ac:dyDescent="0.3">
      <c r="A2" s="13" t="s">
        <v>26</v>
      </c>
      <c r="B2" s="13"/>
      <c r="C2" s="13"/>
      <c r="D2" s="12"/>
    </row>
    <row r="4" spans="1:10" ht="23.25" x14ac:dyDescent="0.35">
      <c r="A4" s="142" t="s">
        <v>27</v>
      </c>
      <c r="B4" s="142"/>
      <c r="C4" s="142"/>
      <c r="D4" s="142"/>
      <c r="E4" s="142"/>
      <c r="F4" s="142"/>
      <c r="G4" s="142"/>
      <c r="H4" s="142"/>
      <c r="I4" s="142"/>
      <c r="J4" s="142"/>
    </row>
    <row r="5" spans="1:10" ht="23.25" x14ac:dyDescent="0.35">
      <c r="A5" s="142" t="s">
        <v>56</v>
      </c>
      <c r="B5" s="142"/>
      <c r="C5" s="142"/>
      <c r="D5" s="142"/>
      <c r="E5" s="142"/>
      <c r="F5" s="142"/>
      <c r="G5" s="142"/>
      <c r="H5" s="142"/>
      <c r="I5" s="142"/>
      <c r="J5" s="142"/>
    </row>
    <row r="7" spans="1:10" x14ac:dyDescent="0.25">
      <c r="A7" s="1"/>
    </row>
    <row r="8" spans="1:10" ht="28.5" customHeight="1" x14ac:dyDescent="0.25">
      <c r="A8" s="8" t="s">
        <v>57</v>
      </c>
      <c r="B8" s="8" t="s">
        <v>58</v>
      </c>
      <c r="C8" s="9" t="s">
        <v>59</v>
      </c>
      <c r="D8" s="8" t="s">
        <v>60</v>
      </c>
      <c r="E8" s="9" t="s">
        <v>61</v>
      </c>
      <c r="F8" s="8" t="s">
        <v>62</v>
      </c>
      <c r="G8" s="9" t="s">
        <v>63</v>
      </c>
      <c r="H8" s="8" t="s">
        <v>64</v>
      </c>
      <c r="I8" s="9" t="s">
        <v>65</v>
      </c>
      <c r="J8" s="8" t="s">
        <v>66</v>
      </c>
    </row>
    <row r="9" spans="1:10" ht="20.100000000000001" customHeight="1" x14ac:dyDescent="0.25">
      <c r="A9" s="2" t="s">
        <v>67</v>
      </c>
      <c r="B9" s="10">
        <v>20641876000</v>
      </c>
      <c r="C9" s="4">
        <v>20</v>
      </c>
      <c r="D9" s="15">
        <f>B9*C9/100</f>
        <v>4128375200</v>
      </c>
      <c r="E9" s="4">
        <v>50</v>
      </c>
      <c r="F9" s="15">
        <f>E9*B9/100</f>
        <v>10320938000</v>
      </c>
      <c r="G9" s="4">
        <v>75</v>
      </c>
      <c r="H9" s="15">
        <f>G9*B9/100</f>
        <v>15481407000</v>
      </c>
      <c r="I9" s="4">
        <v>95</v>
      </c>
      <c r="J9" s="15">
        <f>I9*B9/100</f>
        <v>19609782200</v>
      </c>
    </row>
    <row r="10" spans="1:10" ht="20.100000000000001" customHeight="1" x14ac:dyDescent="0.25">
      <c r="A10" s="2" t="s">
        <v>68</v>
      </c>
      <c r="B10" s="10">
        <v>506148922000</v>
      </c>
      <c r="C10" s="4">
        <v>15</v>
      </c>
      <c r="D10" s="15">
        <f>B10*C10/100</f>
        <v>75922338300</v>
      </c>
      <c r="E10" s="4">
        <v>50</v>
      </c>
      <c r="F10" s="15">
        <f>E10*B10/100</f>
        <v>253074461000</v>
      </c>
      <c r="G10" s="4">
        <v>70</v>
      </c>
      <c r="H10" s="15">
        <f>G10*B10/100</f>
        <v>354304245400</v>
      </c>
      <c r="I10" s="4">
        <v>90</v>
      </c>
      <c r="J10" s="15">
        <f>I10*B10/100</f>
        <v>455534029800</v>
      </c>
    </row>
    <row r="11" spans="1:10" ht="20.100000000000001" customHeight="1" x14ac:dyDescent="0.25">
      <c r="A11" s="2" t="s">
        <v>69</v>
      </c>
      <c r="B11" s="10">
        <v>213126162000</v>
      </c>
      <c r="C11" s="4">
        <v>10</v>
      </c>
      <c r="D11" s="15">
        <f>B11*C11/100</f>
        <v>21312616200</v>
      </c>
      <c r="E11" s="4">
        <v>40</v>
      </c>
      <c r="F11" s="15">
        <f>E11*B11/100</f>
        <v>85250464800</v>
      </c>
      <c r="G11" s="4">
        <v>70</v>
      </c>
      <c r="H11" s="15">
        <f>G11*B11/100</f>
        <v>149188313400</v>
      </c>
      <c r="I11" s="4">
        <v>90</v>
      </c>
      <c r="J11" s="15">
        <f>I11*B11/100</f>
        <v>191813545800</v>
      </c>
    </row>
    <row r="12" spans="1:10" ht="20.100000000000001" customHeight="1" x14ac:dyDescent="0.25">
      <c r="A12" s="2" t="s">
        <v>70</v>
      </c>
      <c r="B12" s="3">
        <f>SUM(B9:B11)</f>
        <v>739916960000</v>
      </c>
      <c r="C12" s="3"/>
      <c r="D12" s="3">
        <f>SUM(D9:D11)</f>
        <v>101363329700</v>
      </c>
      <c r="E12" s="3"/>
      <c r="F12" s="3">
        <f>SUM(F9:F11)</f>
        <v>348645863800</v>
      </c>
      <c r="G12" s="3"/>
      <c r="H12" s="3">
        <f>SUM(H9:H11)</f>
        <v>518973965800</v>
      </c>
      <c r="I12" s="3"/>
      <c r="J12" s="3">
        <f>SUM(J9:J11)</f>
        <v>666957357800</v>
      </c>
    </row>
    <row r="13" spans="1:10" ht="20.100000000000001" customHeight="1" x14ac:dyDescent="0.25">
      <c r="A13" s="7" t="s">
        <v>71</v>
      </c>
      <c r="B13" s="2"/>
      <c r="C13" s="2"/>
      <c r="D13" s="11">
        <f>D12/B12*100</f>
        <v>13.699284538632551</v>
      </c>
      <c r="E13" s="7"/>
      <c r="F13" s="11">
        <f>F12/B12*100</f>
        <v>47.119593501411295</v>
      </c>
      <c r="G13" s="7"/>
      <c r="H13" s="11">
        <f>H12/B12*100</f>
        <v>70.139487787926896</v>
      </c>
      <c r="I13" s="7"/>
      <c r="J13" s="11">
        <f>J12/B12*100</f>
        <v>90.13948778792691</v>
      </c>
    </row>
    <row r="14" spans="1:10" ht="20.100000000000001" customHeight="1" x14ac:dyDescent="0.25">
      <c r="A14" s="5"/>
      <c r="C14" s="5"/>
      <c r="D14" s="17"/>
      <c r="E14" s="18"/>
      <c r="F14" s="17"/>
      <c r="G14" s="5"/>
      <c r="H14" s="6"/>
      <c r="I14" s="5"/>
      <c r="J14" s="6"/>
    </row>
    <row r="15" spans="1:10" x14ac:dyDescent="0.25">
      <c r="B15" s="14"/>
      <c r="D15" s="16"/>
    </row>
    <row r="16" spans="1:10" ht="31.5" x14ac:dyDescent="0.25">
      <c r="A16" s="19" t="s">
        <v>57</v>
      </c>
      <c r="B16" s="19" t="s">
        <v>58</v>
      </c>
      <c r="C16" s="20" t="s">
        <v>59</v>
      </c>
      <c r="D16" s="19" t="s">
        <v>72</v>
      </c>
      <c r="E16" s="20" t="s">
        <v>61</v>
      </c>
      <c r="F16" s="19" t="s">
        <v>73</v>
      </c>
      <c r="G16" s="20" t="s">
        <v>63</v>
      </c>
      <c r="H16" s="19" t="s">
        <v>72</v>
      </c>
      <c r="I16" s="20" t="s">
        <v>65</v>
      </c>
      <c r="J16" s="19" t="s">
        <v>72</v>
      </c>
    </row>
    <row r="17" spans="1:10" ht="15.75" x14ac:dyDescent="0.25">
      <c r="A17" s="2" t="s">
        <v>67</v>
      </c>
      <c r="B17" s="23">
        <f>B9</f>
        <v>20641876000</v>
      </c>
      <c r="C17" s="4">
        <v>20</v>
      </c>
      <c r="D17" s="10">
        <v>3854119131</v>
      </c>
      <c r="E17" s="4">
        <v>50</v>
      </c>
      <c r="F17" s="24">
        <f>1630000000*3</f>
        <v>4890000000</v>
      </c>
      <c r="G17" s="4">
        <v>75</v>
      </c>
      <c r="H17" s="10"/>
      <c r="I17" s="4">
        <v>95</v>
      </c>
      <c r="J17" s="10"/>
    </row>
    <row r="18" spans="1:10" ht="15.75" x14ac:dyDescent="0.25">
      <c r="A18" s="2" t="s">
        <v>68</v>
      </c>
      <c r="B18" s="23">
        <f>B10</f>
        <v>506148922000</v>
      </c>
      <c r="C18" s="4">
        <v>15</v>
      </c>
      <c r="D18" s="10">
        <v>93433262630</v>
      </c>
      <c r="E18" s="4">
        <v>50</v>
      </c>
      <c r="F18" s="10"/>
      <c r="G18" s="4">
        <v>70</v>
      </c>
      <c r="H18" s="10"/>
      <c r="I18" s="4">
        <v>90</v>
      </c>
      <c r="J18" s="10"/>
    </row>
    <row r="19" spans="1:10" ht="15.75" x14ac:dyDescent="0.25">
      <c r="A19" s="2" t="s">
        <v>69</v>
      </c>
      <c r="B19" s="23">
        <f>B11</f>
        <v>213126162000</v>
      </c>
      <c r="C19" s="4">
        <v>10</v>
      </c>
      <c r="D19" s="10">
        <v>21215970017</v>
      </c>
      <c r="E19" s="4">
        <v>40</v>
      </c>
      <c r="F19" s="10"/>
      <c r="G19" s="4">
        <v>70</v>
      </c>
      <c r="H19" s="10"/>
      <c r="I19" s="4">
        <v>90</v>
      </c>
      <c r="J19" s="10"/>
    </row>
    <row r="20" spans="1:10" ht="15.75" x14ac:dyDescent="0.25">
      <c r="A20" s="2" t="s">
        <v>70</v>
      </c>
      <c r="B20" s="3">
        <f>SUM(B17:B19)</f>
        <v>739916960000</v>
      </c>
      <c r="C20" s="3"/>
      <c r="D20" s="3">
        <f>SUM(D17:D19)</f>
        <v>118503351778</v>
      </c>
      <c r="E20" s="3"/>
      <c r="F20" s="3">
        <f>F12-D20</f>
        <v>230142512022</v>
      </c>
      <c r="G20" s="3"/>
      <c r="H20" s="3">
        <f>H12-D20-F20</f>
        <v>170328102000</v>
      </c>
      <c r="I20" s="3"/>
      <c r="J20" s="3">
        <f>((B20*J21)/100)-D20-F20-H20</f>
        <v>206144655000</v>
      </c>
    </row>
    <row r="21" spans="1:10" ht="15.75" x14ac:dyDescent="0.25">
      <c r="A21" s="7" t="s">
        <v>71</v>
      </c>
      <c r="B21" s="2"/>
      <c r="C21" s="2"/>
      <c r="D21" s="11">
        <f>D20/B20*100</f>
        <v>16.01576368488702</v>
      </c>
      <c r="E21" s="7"/>
      <c r="F21" s="11">
        <f>((D20+F20)/B20)*100</f>
        <v>47.119593501411295</v>
      </c>
      <c r="G21" s="7"/>
      <c r="H21" s="11">
        <f>((D20+F20+H20)/B20)*100</f>
        <v>70.139487787926896</v>
      </c>
      <c r="I21" s="7"/>
      <c r="J21" s="22">
        <v>98</v>
      </c>
    </row>
    <row r="23" spans="1:10" x14ac:dyDescent="0.25">
      <c r="F23" s="25">
        <f>F20-F17</f>
        <v>225252512022</v>
      </c>
      <c r="J23" s="21"/>
    </row>
  </sheetData>
  <mergeCells count="2">
    <mergeCell ref="A5:J5"/>
    <mergeCell ref="A4:J4"/>
  </mergeCells>
  <phoneticPr fontId="12" type="noConversion"/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f7128f-a7d0-43d2-bee4-5f56f49c64da" xsi:nil="true"/>
    <lcf76f155ced4ddcb4097134ff3c332f xmlns="6d95bc28-2e5c-4ccd-92aa-ea746d83373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8A126F045CFA4FBFC051756F52F0CC" ma:contentTypeVersion="15" ma:contentTypeDescription="Create a new document." ma:contentTypeScope="" ma:versionID="3208e68b71c22743ea86da60d1e9ab54">
  <xsd:schema xmlns:xsd="http://www.w3.org/2001/XMLSchema" xmlns:xs="http://www.w3.org/2001/XMLSchema" xmlns:p="http://schemas.microsoft.com/office/2006/metadata/properties" xmlns:ns2="6d95bc28-2e5c-4ccd-92aa-ea746d833732" xmlns:ns3="0ef7128f-a7d0-43d2-bee4-5f56f49c64da" targetNamespace="http://schemas.microsoft.com/office/2006/metadata/properties" ma:root="true" ma:fieldsID="2fefb0d127e3815082eddebadb8446cd" ns2:_="" ns3:_="">
    <xsd:import namespace="6d95bc28-2e5c-4ccd-92aa-ea746d833732"/>
    <xsd:import namespace="0ef7128f-a7d0-43d2-bee4-5f56f49c6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5bc28-2e5c-4ccd-92aa-ea746d8337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a81aea-b39a-4503-b357-deb112bd17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f7128f-a7d0-43d2-bee4-5f56f49c64d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029eaf9-6835-4e5b-a69f-314033f98da1}" ma:internalName="TaxCatchAll" ma:showField="CatchAllData" ma:web="0ef7128f-a7d0-43d2-bee4-5f56f49c6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C24C32-26A5-46B6-8905-74C1706A1B8E}">
  <ds:schemaRefs>
    <ds:schemaRef ds:uri="http://schemas.microsoft.com/office/2006/metadata/properties"/>
    <ds:schemaRef ds:uri="http://schemas.microsoft.com/office/infopath/2007/PartnerControls"/>
    <ds:schemaRef ds:uri="0ef7128f-a7d0-43d2-bee4-5f56f49c64da"/>
    <ds:schemaRef ds:uri="6d95bc28-2e5c-4ccd-92aa-ea746d833732"/>
  </ds:schemaRefs>
</ds:datastoreItem>
</file>

<file path=customXml/itemProps2.xml><?xml version="1.0" encoding="utf-8"?>
<ds:datastoreItem xmlns:ds="http://schemas.openxmlformats.org/officeDocument/2006/customXml" ds:itemID="{9BB4633B-1A3C-4046-B120-75C7A0D242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25FCB5-2927-4CB5-A0D1-7D9C809719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5bc28-2e5c-4ccd-92aa-ea746d833732"/>
    <ds:schemaRef ds:uri="0ef7128f-a7d0-43d2-bee4-5f56f49c64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d6fb366-8322-46f3-915e-c4d037a454a9}" enabled="0" method="" siteId="{ed6fb366-8322-46f3-915e-c4d037a454a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Simulasi Setiap GUP</vt:lpstr>
      <vt:lpstr>Simulasi Khusus GUP tgl 6 mar -</vt:lpstr>
      <vt:lpstr>Penyerapan Anggaran</vt:lpstr>
      <vt:lpstr>FORMULA BARU</vt:lpstr>
      <vt:lpstr>formula lama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DJPBN</dc:creator>
  <cp:keywords/>
  <dc:description/>
  <cp:lastModifiedBy>Lifia Prasetia Habsari</cp:lastModifiedBy>
  <cp:revision/>
  <dcterms:created xsi:type="dcterms:W3CDTF">2022-03-14T01:29:44Z</dcterms:created>
  <dcterms:modified xsi:type="dcterms:W3CDTF">2026-05-12T02:36:17Z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0x0101003A8A126F045CFA4FBFC051756F52F0CC</vt:lpwstr>
  </property>
  <property fmtid="{D5CDD505-2E9C-101B-9397-08002B2CF9AE}" pid="3" name="MediaServiceImageTags">
    <vt:lpwstr/>
  </property>
</Properties>
</file>