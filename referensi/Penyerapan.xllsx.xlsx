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97616D53-98D5-4DCF-A0E5-A391C783796E}" xr6:coauthVersionLast="47" xr6:coauthVersionMax="47" xr10:uidLastSave="{00000000-0000-0000-0000-000000000000}"/>
  <bookViews>
    <workbookView xWindow="-120" yWindow="-120" windowWidth="20730" windowHeight="11040" activeTab="1" xr2:uid="{AB7B491F-4063-4C85-9B97-12FA45AF0A7D}"/>
  </bookViews>
  <sheets>
    <sheet name="sheet 1 pola layar ui ux" sheetId="1" r:id="rId1"/>
    <sheet name="sheet 2 perhitungan terbar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2" l="1"/>
  <c r="R18" i="2"/>
  <c r="K18" i="2"/>
  <c r="T18" i="2" s="1"/>
  <c r="W18" i="2" s="1"/>
  <c r="J18" i="2"/>
  <c r="I18" i="2"/>
  <c r="E18" i="2"/>
  <c r="N18" i="2" s="1"/>
  <c r="R17" i="2"/>
  <c r="N17" i="2"/>
  <c r="K17" i="2"/>
  <c r="T17" i="2" s="1"/>
  <c r="W17" i="2" s="1"/>
  <c r="J17" i="2"/>
  <c r="S17" i="2" s="1"/>
  <c r="I17" i="2"/>
  <c r="E17" i="2"/>
  <c r="M17" i="2" s="1"/>
  <c r="T16" i="2"/>
  <c r="W16" i="2" s="1"/>
  <c r="N16" i="2"/>
  <c r="M16" i="2"/>
  <c r="K16" i="2"/>
  <c r="J16" i="2"/>
  <c r="S16" i="2" s="1"/>
  <c r="I16" i="2"/>
  <c r="R16" i="2" s="1"/>
  <c r="E16" i="2"/>
  <c r="L16" i="2" s="1"/>
  <c r="T15" i="2"/>
  <c r="S15" i="2"/>
  <c r="K15" i="2"/>
  <c r="J15" i="2"/>
  <c r="I15" i="2"/>
  <c r="R15" i="2" s="1"/>
  <c r="E15" i="2"/>
  <c r="S14" i="2"/>
  <c r="R14" i="2"/>
  <c r="K14" i="2"/>
  <c r="T14" i="2" s="1"/>
  <c r="W14" i="2" s="1"/>
  <c r="J14" i="2"/>
  <c r="I14" i="2"/>
  <c r="E14" i="2"/>
  <c r="N14" i="2" s="1"/>
  <c r="R13" i="2"/>
  <c r="N13" i="2"/>
  <c r="K13" i="2"/>
  <c r="T13" i="2" s="1"/>
  <c r="W13" i="2" s="1"/>
  <c r="J13" i="2"/>
  <c r="S13" i="2" s="1"/>
  <c r="V13" i="2" s="1"/>
  <c r="I13" i="2"/>
  <c r="E13" i="2"/>
  <c r="M13" i="2" s="1"/>
  <c r="T12" i="2"/>
  <c r="W12" i="2" s="1"/>
  <c r="N12" i="2"/>
  <c r="M12" i="2"/>
  <c r="K12" i="2"/>
  <c r="J12" i="2"/>
  <c r="S12" i="2" s="1"/>
  <c r="V12" i="2" s="1"/>
  <c r="I12" i="2"/>
  <c r="R12" i="2" s="1"/>
  <c r="E12" i="2"/>
  <c r="L12" i="2" s="1"/>
  <c r="T11" i="2"/>
  <c r="S11" i="2"/>
  <c r="K11" i="2"/>
  <c r="J11" i="2"/>
  <c r="I11" i="2"/>
  <c r="R11" i="2" s="1"/>
  <c r="E11" i="2"/>
  <c r="S10" i="2"/>
  <c r="R10" i="2"/>
  <c r="K10" i="2"/>
  <c r="T10" i="2" s="1"/>
  <c r="W10" i="2" s="1"/>
  <c r="J10" i="2"/>
  <c r="I10" i="2"/>
  <c r="E10" i="2"/>
  <c r="N10" i="2" s="1"/>
  <c r="R9" i="2"/>
  <c r="N9" i="2"/>
  <c r="K9" i="2"/>
  <c r="T9" i="2" s="1"/>
  <c r="W9" i="2" s="1"/>
  <c r="J9" i="2"/>
  <c r="S9" i="2" s="1"/>
  <c r="V9" i="2" s="1"/>
  <c r="I9" i="2"/>
  <c r="E9" i="2"/>
  <c r="M9" i="2" s="1"/>
  <c r="T8" i="2"/>
  <c r="N8" i="2"/>
  <c r="M8" i="2"/>
  <c r="K8" i="2"/>
  <c r="J8" i="2"/>
  <c r="S8" i="2" s="1"/>
  <c r="V8" i="2" s="1"/>
  <c r="I8" i="2"/>
  <c r="R8" i="2" s="1"/>
  <c r="U8" i="2" s="1"/>
  <c r="E8" i="2"/>
  <c r="L8" i="2" s="1"/>
  <c r="T7" i="2"/>
  <c r="W7" i="2" s="1"/>
  <c r="S7" i="2"/>
  <c r="K7" i="2"/>
  <c r="J7" i="2"/>
  <c r="I7" i="2"/>
  <c r="R7" i="2" s="1"/>
  <c r="E7" i="2"/>
  <c r="N7" i="2" s="1"/>
  <c r="Q19" i="1"/>
  <c r="P19" i="1"/>
  <c r="O19" i="1"/>
  <c r="N18" i="1"/>
  <c r="M18" i="1"/>
  <c r="L18" i="1"/>
  <c r="K18" i="1"/>
  <c r="J18" i="1"/>
  <c r="I18" i="1"/>
  <c r="E18" i="1"/>
  <c r="N17" i="1"/>
  <c r="M17" i="1"/>
  <c r="L17" i="1"/>
  <c r="K17" i="1"/>
  <c r="E17" i="1"/>
  <c r="J17" i="1" s="1"/>
  <c r="N16" i="1"/>
  <c r="M16" i="1"/>
  <c r="L16" i="1"/>
  <c r="K16" i="1"/>
  <c r="J16" i="1"/>
  <c r="I16" i="1"/>
  <c r="E16" i="1"/>
  <c r="N15" i="1"/>
  <c r="M15" i="1"/>
  <c r="L15" i="1"/>
  <c r="E15" i="1"/>
  <c r="N14" i="1"/>
  <c r="M14" i="1"/>
  <c r="L14" i="1"/>
  <c r="K14" i="1"/>
  <c r="J14" i="1"/>
  <c r="I14" i="1"/>
  <c r="E14" i="1"/>
  <c r="N13" i="1"/>
  <c r="M13" i="1"/>
  <c r="L13" i="1"/>
  <c r="E13" i="1"/>
  <c r="N12" i="1"/>
  <c r="M12" i="1"/>
  <c r="L12" i="1"/>
  <c r="K12" i="1"/>
  <c r="J12" i="1"/>
  <c r="I12" i="1"/>
  <c r="E12" i="1"/>
  <c r="N11" i="1"/>
  <c r="M11" i="1"/>
  <c r="L11" i="1"/>
  <c r="E11" i="1"/>
  <c r="T10" i="1"/>
  <c r="N10" i="1"/>
  <c r="M10" i="1"/>
  <c r="L10" i="1"/>
  <c r="K10" i="1"/>
  <c r="J10" i="1"/>
  <c r="I10" i="1"/>
  <c r="E10" i="1"/>
  <c r="N9" i="1"/>
  <c r="M9" i="1"/>
  <c r="L9" i="1"/>
  <c r="K9" i="1"/>
  <c r="J9" i="1"/>
  <c r="E9" i="1"/>
  <c r="I9" i="1" s="1"/>
  <c r="T8" i="1"/>
  <c r="T9" i="1" s="1"/>
  <c r="S8" i="1"/>
  <c r="N8" i="1"/>
  <c r="M8" i="1"/>
  <c r="L8" i="1"/>
  <c r="E8" i="1"/>
  <c r="V7" i="1"/>
  <c r="Y7" i="1" s="1"/>
  <c r="U7" i="1"/>
  <c r="X7" i="1" s="1"/>
  <c r="T7" i="1"/>
  <c r="S7" i="1"/>
  <c r="R7" i="1"/>
  <c r="R8" i="1" s="1"/>
  <c r="U8" i="1" s="1"/>
  <c r="N7" i="1"/>
  <c r="W7" i="1" s="1"/>
  <c r="Z7" i="1" s="1"/>
  <c r="M7" i="1"/>
  <c r="L7" i="1"/>
  <c r="K7" i="1"/>
  <c r="J7" i="1"/>
  <c r="E7" i="1"/>
  <c r="I7" i="1" s="1"/>
  <c r="L7" i="2" l="1"/>
  <c r="W8" i="2"/>
  <c r="X8" i="2" s="1"/>
  <c r="Y8" i="2" s="1"/>
  <c r="N15" i="2"/>
  <c r="W15" i="2" s="1"/>
  <c r="M15" i="2"/>
  <c r="L15" i="2"/>
  <c r="U18" i="2"/>
  <c r="U7" i="2"/>
  <c r="X7" i="2" s="1"/>
  <c r="Y7" i="2" s="1"/>
  <c r="M7" i="2"/>
  <c r="N11" i="2"/>
  <c r="W11" i="2" s="1"/>
  <c r="M11" i="2"/>
  <c r="L11" i="2"/>
  <c r="U11" i="2" s="1"/>
  <c r="X11" i="2" s="1"/>
  <c r="U15" i="2"/>
  <c r="V15" i="2"/>
  <c r="U16" i="2"/>
  <c r="X16" i="2" s="1"/>
  <c r="V7" i="2"/>
  <c r="V11" i="2"/>
  <c r="U12" i="2"/>
  <c r="X12" i="2" s="1"/>
  <c r="V16" i="2"/>
  <c r="V17" i="2"/>
  <c r="L10" i="2"/>
  <c r="U10" i="2" s="1"/>
  <c r="X10" i="2" s="1"/>
  <c r="L14" i="2"/>
  <c r="U14" i="2" s="1"/>
  <c r="X14" i="2" s="1"/>
  <c r="L18" i="2"/>
  <c r="L9" i="2"/>
  <c r="U9" i="2" s="1"/>
  <c r="X9" i="2" s="1"/>
  <c r="Y9" i="2" s="1"/>
  <c r="M10" i="2"/>
  <c r="V10" i="2" s="1"/>
  <c r="L13" i="2"/>
  <c r="U13" i="2" s="1"/>
  <c r="X13" i="2" s="1"/>
  <c r="M14" i="2"/>
  <c r="V14" i="2" s="1"/>
  <c r="L17" i="2"/>
  <c r="U17" i="2" s="1"/>
  <c r="X17" i="2" s="1"/>
  <c r="M18" i="2"/>
  <c r="V18" i="2" s="1"/>
  <c r="AA7" i="1"/>
  <c r="AB7" i="1" s="1"/>
  <c r="K8" i="1"/>
  <c r="J8" i="1"/>
  <c r="J15" i="1"/>
  <c r="I15" i="1"/>
  <c r="I8" i="1"/>
  <c r="X8" i="1" s="1"/>
  <c r="V8" i="1"/>
  <c r="Y8" i="1" s="1"/>
  <c r="S9" i="1"/>
  <c r="R9" i="1"/>
  <c r="W10" i="1"/>
  <c r="Z10" i="1" s="1"/>
  <c r="T11" i="1"/>
  <c r="J13" i="1"/>
  <c r="I13" i="1"/>
  <c r="K15" i="1"/>
  <c r="W9" i="1"/>
  <c r="Z9" i="1" s="1"/>
  <c r="J11" i="1"/>
  <c r="I11" i="1"/>
  <c r="K13" i="1"/>
  <c r="W8" i="1"/>
  <c r="Z8" i="1" s="1"/>
  <c r="K11" i="1"/>
  <c r="I17" i="1"/>
  <c r="Y10" i="2" l="1"/>
  <c r="Y11" i="2"/>
  <c r="Y12" i="2"/>
  <c r="X18" i="2"/>
  <c r="X15" i="2"/>
  <c r="W11" i="1"/>
  <c r="Z11" i="1" s="1"/>
  <c r="T12" i="1"/>
  <c r="AA8" i="1"/>
  <c r="AB8" i="1" s="1"/>
  <c r="S10" i="1"/>
  <c r="V9" i="1"/>
  <c r="Y9" i="1" s="1"/>
  <c r="R10" i="1"/>
  <c r="U9" i="1"/>
  <c r="X9" i="1" s="1"/>
  <c r="AA9" i="1" s="1"/>
  <c r="Y14" i="2" l="1"/>
  <c r="Y15" i="2"/>
  <c r="Y13" i="2"/>
  <c r="R11" i="1"/>
  <c r="U10" i="1"/>
  <c r="X10" i="1" s="1"/>
  <c r="AA10" i="1" s="1"/>
  <c r="AB10" i="1" s="1"/>
  <c r="W12" i="1"/>
  <c r="Z12" i="1" s="1"/>
  <c r="T13" i="1"/>
  <c r="V10" i="1"/>
  <c r="Y10" i="1" s="1"/>
  <c r="S11" i="1"/>
  <c r="Y18" i="2" l="1"/>
  <c r="Y16" i="2"/>
  <c r="Y17" i="2"/>
  <c r="T14" i="1"/>
  <c r="W13" i="1"/>
  <c r="Z13" i="1" s="1"/>
  <c r="S12" i="1"/>
  <c r="V11" i="1"/>
  <c r="Y11" i="1" s="1"/>
  <c r="U11" i="1"/>
  <c r="X11" i="1" s="1"/>
  <c r="R12" i="1"/>
  <c r="R13" i="1" l="1"/>
  <c r="U12" i="1"/>
  <c r="X12" i="1" s="1"/>
  <c r="V12" i="1"/>
  <c r="Y12" i="1" s="1"/>
  <c r="S13" i="1"/>
  <c r="AA11" i="1"/>
  <c r="AB11" i="1" s="1"/>
  <c r="W14" i="1"/>
  <c r="Z14" i="1" s="1"/>
  <c r="T15" i="1"/>
  <c r="AA12" i="1" l="1"/>
  <c r="AB12" i="1" s="1"/>
  <c r="S14" i="1"/>
  <c r="V13" i="1"/>
  <c r="Y13" i="1" s="1"/>
  <c r="W15" i="1"/>
  <c r="Z15" i="1" s="1"/>
  <c r="T16" i="1"/>
  <c r="U13" i="1"/>
  <c r="X13" i="1" s="1"/>
  <c r="R14" i="1"/>
  <c r="R15" i="1" l="1"/>
  <c r="U14" i="1"/>
  <c r="X14" i="1" s="1"/>
  <c r="AA13" i="1"/>
  <c r="AB13" i="1" s="1"/>
  <c r="V14" i="1"/>
  <c r="Y14" i="1" s="1"/>
  <c r="S15" i="1"/>
  <c r="W16" i="1"/>
  <c r="Z16" i="1" s="1"/>
  <c r="T17" i="1"/>
  <c r="W17" i="1" l="1"/>
  <c r="Z17" i="1" s="1"/>
  <c r="T18" i="1"/>
  <c r="W18" i="1" s="1"/>
  <c r="Z18" i="1" s="1"/>
  <c r="AA14" i="1"/>
  <c r="AB14" i="1" s="1"/>
  <c r="S16" i="1"/>
  <c r="V15" i="1"/>
  <c r="Y15" i="1" s="1"/>
  <c r="U15" i="1"/>
  <c r="X15" i="1" s="1"/>
  <c r="R16" i="1"/>
  <c r="V16" i="1" l="1"/>
  <c r="Y16" i="1" s="1"/>
  <c r="S17" i="1"/>
  <c r="U16" i="1"/>
  <c r="X16" i="1" s="1"/>
  <c r="AA16" i="1" s="1"/>
  <c r="R17" i="1"/>
  <c r="AA15" i="1"/>
  <c r="AB15" i="1" s="1"/>
  <c r="U17" i="1" l="1"/>
  <c r="X17" i="1" s="1"/>
  <c r="R18" i="1"/>
  <c r="U18" i="1" s="1"/>
  <c r="X18" i="1" s="1"/>
  <c r="S18" i="1"/>
  <c r="V18" i="1" s="1"/>
  <c r="Y18" i="1" s="1"/>
  <c r="V17" i="1"/>
  <c r="Y17" i="1" s="1"/>
  <c r="AB16" i="1"/>
  <c r="AA18" i="1" l="1"/>
  <c r="AB18" i="1" s="1"/>
  <c r="AA17" i="1"/>
  <c r="AB17" i="1" s="1"/>
</calcChain>
</file>

<file path=xl/sharedStrings.xml><?xml version="1.0" encoding="utf-8"?>
<sst xmlns="http://schemas.openxmlformats.org/spreadsheetml/2006/main" count="52" uniqueCount="30">
  <si>
    <t>HANYA UBAH KOLOM WARNA KUNING</t>
  </si>
  <si>
    <t xml:space="preserve">SIMULASI PERHITUNGAN REALISASI IKPA </t>
  </si>
  <si>
    <t>Bulan</t>
  </si>
  <si>
    <t>Pagu Netto</t>
  </si>
  <si>
    <t xml:space="preserve"> Target IKPA (%)</t>
  </si>
  <si>
    <t>Proporsi Pagu (%)</t>
  </si>
  <si>
    <t>Target Rp</t>
  </si>
  <si>
    <t xml:space="preserve"> Realisasi Bulanan Rp</t>
  </si>
  <si>
    <t>Akumulasi Realisasi Rp</t>
  </si>
  <si>
    <r>
      <t xml:space="preserve">PA = </t>
    </r>
    <r>
      <rPr>
        <sz val="12"/>
        <color rgb="FFFFFFFF"/>
        <rFont val="Segoe UI"/>
        <family val="2"/>
      </rPr>
      <t>Akumulasi</t>
    </r>
    <r>
      <rPr>
        <b/>
        <sz val="12"/>
        <color rgb="FFFFFFFF"/>
        <rFont val="Segoe UI"/>
        <family val="2"/>
      </rPr>
      <t xml:space="preserve"> </t>
    </r>
    <r>
      <rPr>
        <sz val="12"/>
        <color rgb="FFFFFFFF"/>
        <rFont val="Segoe UI"/>
        <family val="2"/>
      </rPr>
      <t>Realisasi Rp/ Target Rp</t>
    </r>
  </si>
  <si>
    <r>
      <t xml:space="preserve">NKPA Tertimbang </t>
    </r>
    <r>
      <rPr>
        <sz val="12"/>
        <color rgb="FFFFFFFF"/>
        <rFont val="Segoe UI"/>
        <family val="2"/>
      </rPr>
      <t>= PA x Proporsi Pagu</t>
    </r>
  </si>
  <si>
    <t>NKPAT Seluruh JB</t>
  </si>
  <si>
    <t>Nilai IKPA</t>
  </si>
  <si>
    <t>Total Pagu</t>
  </si>
  <si>
    <t>Jan</t>
  </si>
  <si>
    <t>Feb</t>
  </si>
  <si>
    <t>Mar</t>
  </si>
  <si>
    <t>khusus indikator penyerapan TW1 formula lama diisi manual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</si>
  <si>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</si>
  <si>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</si>
  <si>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</si>
  <si>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</si>
  <si>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</si>
  <si>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</si>
  <si>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</si>
  <si>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</si>
  <si>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</si>
  <si>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Realisasi</t>
  </si>
  <si>
    <t>PA = Realisasi / Target</t>
  </si>
  <si>
    <t>NKPA Tertimbang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</si>
</sst>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FFFF"/>
      <name val="Segoe UI"/>
      <family val="2"/>
    </font>
    <font>
      <sz val="12"/>
      <color rgb="FFFFFFFF"/>
      <name val="Segoe UI"/>
      <family val="2"/>
    </font>
    <font>
      <b/>
      <sz val="12"/>
      <color rgb="FF000000"/>
      <name val="Segoe UI"/>
      <family val="2"/>
    </font>
    <font>
      <b/>
      <sz val="12"/>
      <color theme="0"/>
      <name val="Segoe UI"/>
      <family val="2"/>
    </font>
    <font>
      <sz val="12"/>
      <color rgb="FF000000"/>
      <name val="Segoe UI"/>
      <family val="2"/>
    </font>
    <font>
      <sz val="11"/>
      <color rgb="FFFF0000"/>
      <name val="Calibri"/>
      <family val="2"/>
      <charset val="1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FA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2" borderId="0" xfId="0" applyFont="1" applyFill="1"/>
    <xf numFmtId="164" fontId="0" fillId="2" borderId="0" xfId="1" applyNumberFormat="1" applyFont="1" applyFill="1"/>
    <xf numFmtId="43" fontId="0" fillId="2" borderId="0" xfId="1" applyFont="1" applyFill="1"/>
    <xf numFmtId="164" fontId="0" fillId="0" borderId="0" xfId="1" applyNumberFormat="1" applyFont="1"/>
    <xf numFmtId="43" fontId="0" fillId="0" borderId="0" xfId="1" applyFont="1"/>
    <xf numFmtId="0" fontId="4" fillId="0" borderId="0" xfId="0" applyFont="1"/>
    <xf numFmtId="0" fontId="5" fillId="3" borderId="3" xfId="0" applyFont="1" applyFill="1" applyBorder="1" applyAlignment="1">
      <alignment horizontal="center" vertical="center" wrapText="1" readingOrder="1"/>
    </xf>
    <xf numFmtId="43" fontId="5" fillId="3" borderId="3" xfId="1" applyFont="1" applyFill="1" applyBorder="1" applyAlignment="1">
      <alignment horizontal="center" vertical="center" wrapText="1" readingOrder="1"/>
    </xf>
    <xf numFmtId="0" fontId="7" fillId="4" borderId="6" xfId="0" applyFont="1" applyFill="1" applyBorder="1" applyAlignment="1">
      <alignment vertical="center" wrapText="1" readingOrder="1"/>
    </xf>
    <xf numFmtId="164" fontId="7" fillId="4" borderId="6" xfId="1" applyNumberFormat="1" applyFont="1" applyFill="1" applyBorder="1" applyAlignment="1">
      <alignment vertical="center" wrapText="1" readingOrder="1"/>
    </xf>
    <xf numFmtId="43" fontId="7" fillId="4" borderId="6" xfId="1" applyFont="1" applyFill="1" applyBorder="1" applyAlignment="1">
      <alignment vertical="center" wrapText="1" readingOrder="1"/>
    </xf>
    <xf numFmtId="0" fontId="8" fillId="5" borderId="6" xfId="0" applyFont="1" applyFill="1" applyBorder="1" applyAlignment="1">
      <alignment horizontal="center" vertical="center" wrapText="1" readingOrder="1"/>
    </xf>
    <xf numFmtId="0" fontId="9" fillId="6" borderId="6" xfId="0" applyFont="1" applyFill="1" applyBorder="1" applyAlignment="1">
      <alignment horizontal="center" vertical="center" wrapText="1" readingOrder="1"/>
    </xf>
    <xf numFmtId="164" fontId="9" fillId="2" borderId="6" xfId="1" applyNumberFormat="1" applyFont="1" applyFill="1" applyBorder="1" applyAlignment="1" applyProtection="1">
      <alignment horizontal="center" vertical="center" wrapText="1" readingOrder="1"/>
      <protection locked="0"/>
    </xf>
    <xf numFmtId="164" fontId="9" fillId="7" borderId="6" xfId="1" applyNumberFormat="1" applyFont="1" applyFill="1" applyBorder="1" applyAlignment="1">
      <alignment horizontal="center" vertical="center" wrapText="1" readingOrder="1"/>
    </xf>
    <xf numFmtId="0" fontId="9" fillId="6" borderId="6" xfId="0" applyFont="1" applyFill="1" applyBorder="1" applyAlignment="1">
      <alignment horizontal="center" wrapText="1" readingOrder="1"/>
    </xf>
    <xf numFmtId="1" fontId="9" fillId="8" borderId="6" xfId="0" applyNumberFormat="1" applyFont="1" applyFill="1" applyBorder="1" applyAlignment="1">
      <alignment horizontal="center" vertical="center" wrapText="1" readingOrder="1"/>
    </xf>
    <xf numFmtId="164" fontId="9" fillId="9" borderId="6" xfId="1" applyNumberFormat="1" applyFont="1" applyFill="1" applyBorder="1" applyAlignment="1">
      <alignment horizontal="center" vertical="center" wrapText="1" readingOrder="1"/>
    </xf>
    <xf numFmtId="1" fontId="9" fillId="2" borderId="6" xfId="0" applyNumberFormat="1" applyFont="1" applyFill="1" applyBorder="1" applyAlignment="1" applyProtection="1">
      <alignment horizontal="center" vertical="center" wrapText="1" readingOrder="1"/>
      <protection locked="0"/>
    </xf>
    <xf numFmtId="164" fontId="9" fillId="10" borderId="6" xfId="1" applyNumberFormat="1" applyFont="1" applyFill="1" applyBorder="1" applyAlignment="1" applyProtection="1">
      <alignment horizontal="center" vertical="center" wrapText="1" readingOrder="1"/>
      <protection locked="0"/>
    </xf>
    <xf numFmtId="1" fontId="9" fillId="11" borderId="6" xfId="0" applyNumberFormat="1" applyFont="1" applyFill="1" applyBorder="1" applyAlignment="1">
      <alignment horizontal="center" vertical="center" wrapText="1" readingOrder="1"/>
    </xf>
    <xf numFmtId="43" fontId="9" fillId="11" borderId="6" xfId="1" applyFont="1" applyFill="1" applyBorder="1" applyAlignment="1">
      <alignment horizontal="center" vertical="center" wrapText="1" readingOrder="1"/>
    </xf>
    <xf numFmtId="43" fontId="9" fillId="12" borderId="6" xfId="1" applyFont="1" applyFill="1" applyBorder="1" applyAlignment="1">
      <alignment horizontal="center" vertical="center" wrapText="1" readingOrder="1"/>
    </xf>
    <xf numFmtId="2" fontId="9" fillId="6" borderId="6" xfId="0" applyNumberFormat="1" applyFont="1" applyFill="1" applyBorder="1" applyAlignment="1">
      <alignment horizontal="center" vertical="center" wrapText="1" readingOrder="1"/>
    </xf>
    <xf numFmtId="0" fontId="7" fillId="13" borderId="6" xfId="0" applyFont="1" applyFill="1" applyBorder="1" applyAlignment="1">
      <alignment horizontal="center" vertical="center" wrapText="1" readingOrder="1"/>
    </xf>
    <xf numFmtId="2" fontId="7" fillId="2" borderId="6" xfId="0" applyNumberFormat="1" applyFont="1" applyFill="1" applyBorder="1" applyAlignment="1" applyProtection="1">
      <alignment horizontal="center" vertical="center" wrapText="1" readingOrder="1"/>
      <protection locked="0"/>
    </xf>
    <xf numFmtId="0" fontId="10" fillId="0" borderId="0" xfId="0" applyFont="1"/>
    <xf numFmtId="2" fontId="7" fillId="13" borderId="6" xfId="0" applyNumberFormat="1" applyFont="1" applyFill="1" applyBorder="1" applyAlignment="1">
      <alignment horizontal="center" vertical="center" wrapText="1" readingOrder="1"/>
    </xf>
    <xf numFmtId="164" fontId="2" fillId="0" borderId="0" xfId="0" applyNumberFormat="1" applyFont="1"/>
    <xf numFmtId="164" fontId="0" fillId="0" borderId="0" xfId="0" applyNumberFormat="1"/>
    <xf numFmtId="10" fontId="0" fillId="0" borderId="0" xfId="2" applyNumberFormat="1" applyFont="1"/>
    <xf numFmtId="0" fontId="0" fillId="2" borderId="0" xfId="0" applyFill="1"/>
    <xf numFmtId="0" fontId="7" fillId="4" borderId="6" xfId="0" applyFont="1" applyFill="1" applyBorder="1" applyAlignment="1">
      <alignment horizontal="center" vertical="center" wrapText="1" readingOrder="1"/>
    </xf>
    <xf numFmtId="164" fontId="9" fillId="2" borderId="6" xfId="1" applyNumberFormat="1" applyFont="1" applyFill="1" applyBorder="1" applyAlignment="1">
      <alignment horizontal="center" vertical="center" wrapText="1" readingOrder="1"/>
    </xf>
    <xf numFmtId="0" fontId="9" fillId="7" borderId="6" xfId="0" applyFont="1" applyFill="1" applyBorder="1" applyAlignment="1">
      <alignment horizontal="center" vertical="center" wrapText="1" readingOrder="1"/>
    </xf>
    <xf numFmtId="2" fontId="9" fillId="12" borderId="6" xfId="0" applyNumberFormat="1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164" fontId="5" fillId="3" borderId="2" xfId="1" applyNumberFormat="1" applyFont="1" applyFill="1" applyBorder="1" applyAlignment="1">
      <alignment horizontal="center" vertical="center" wrapText="1" readingOrder="1"/>
    </xf>
    <xf numFmtId="164" fontId="5" fillId="3" borderId="3" xfId="1" applyNumberFormat="1" applyFont="1" applyFill="1" applyBorder="1" applyAlignment="1">
      <alignment horizontal="center" vertical="center" wrapText="1" readingOrder="1"/>
    </xf>
    <xf numFmtId="164" fontId="5" fillId="3" borderId="4" xfId="1" applyNumberFormat="1" applyFont="1" applyFill="1" applyBorder="1" applyAlignment="1">
      <alignment horizontal="center" vertical="center" wrapText="1" readingOrder="1"/>
    </xf>
    <xf numFmtId="43" fontId="5" fillId="3" borderId="2" xfId="1" applyFont="1" applyFill="1" applyBorder="1" applyAlignment="1">
      <alignment horizontal="center" vertical="center" wrapText="1" readingOrder="1"/>
    </xf>
    <xf numFmtId="43" fontId="5" fillId="3" borderId="3" xfId="1" applyFont="1" applyFill="1" applyBorder="1" applyAlignment="1">
      <alignment horizontal="center" vertical="center" wrapText="1" readingOrder="1"/>
    </xf>
    <xf numFmtId="43" fontId="5" fillId="3" borderId="4" xfId="1" applyFont="1" applyFill="1" applyBorder="1" applyAlignment="1">
      <alignment horizontal="center" vertical="center" wrapText="1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BFE2-C1F8-454E-94E5-E8C9D2C65963}">
  <dimension ref="A1:AC21"/>
  <sheetViews>
    <sheetView workbookViewId="0">
      <selection sqref="A1:XFD1048576"/>
    </sheetView>
  </sheetViews>
  <sheetFormatPr defaultRowHeight="15" x14ac:dyDescent="0.25"/>
  <cols>
    <col min="2" max="2" width="15.140625" bestFit="1" customWidth="1"/>
    <col min="3" max="3" width="17" bestFit="1" customWidth="1"/>
    <col min="4" max="4" width="19.5703125" style="4" customWidth="1"/>
    <col min="5" max="5" width="17.28515625" style="5" customWidth="1"/>
    <col min="6" max="11" width="6.5703125" customWidth="1"/>
    <col min="12" max="14" width="17.5703125" style="4" customWidth="1"/>
    <col min="15" max="15" width="12.5703125" bestFit="1" customWidth="1"/>
    <col min="16" max="16" width="14.42578125" bestFit="1" customWidth="1"/>
    <col min="17" max="17" width="14.140625" customWidth="1"/>
    <col min="18" max="18" width="14.140625" style="4" customWidth="1"/>
    <col min="19" max="19" width="14.85546875" style="4" customWidth="1"/>
    <col min="20" max="20" width="13.7109375" style="4" customWidth="1"/>
    <col min="23" max="23" width="13.140625" style="5" customWidth="1"/>
    <col min="24" max="25" width="8" style="5" bestFit="1" customWidth="1"/>
    <col min="26" max="26" width="8.42578125" style="5" bestFit="1" customWidth="1"/>
    <col min="27" max="27" width="10.85546875" customWidth="1"/>
    <col min="28" max="28" width="14.140625" customWidth="1"/>
  </cols>
  <sheetData>
    <row r="1" spans="1:29" ht="18.75" x14ac:dyDescent="0.3">
      <c r="A1" s="1" t="s">
        <v>0</v>
      </c>
      <c r="B1" s="1"/>
      <c r="C1" s="1"/>
      <c r="D1" s="2"/>
      <c r="E1" s="3"/>
    </row>
    <row r="2" spans="1:29" s="6" customFormat="1" ht="18.75" x14ac:dyDescent="0.3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4" spans="1:29" ht="17.25" x14ac:dyDescent="0.25">
      <c r="A4" s="37" t="s">
        <v>2</v>
      </c>
      <c r="B4" s="41" t="s">
        <v>3</v>
      </c>
      <c r="C4" s="42"/>
      <c r="D4" s="43"/>
      <c r="E4" s="8"/>
      <c r="F4" s="41" t="s">
        <v>4</v>
      </c>
      <c r="G4" s="42"/>
      <c r="H4" s="43"/>
      <c r="I4" s="41" t="s">
        <v>5</v>
      </c>
      <c r="J4" s="42"/>
      <c r="K4" s="43"/>
      <c r="L4" s="44" t="s">
        <v>6</v>
      </c>
      <c r="M4" s="45"/>
      <c r="N4" s="46"/>
      <c r="O4" s="44" t="s">
        <v>7</v>
      </c>
      <c r="P4" s="45"/>
      <c r="Q4" s="46"/>
      <c r="R4" s="44" t="s">
        <v>8</v>
      </c>
      <c r="S4" s="45"/>
      <c r="T4" s="46"/>
      <c r="U4" s="41" t="s">
        <v>9</v>
      </c>
      <c r="V4" s="42"/>
      <c r="W4" s="43"/>
      <c r="X4" s="47" t="s">
        <v>10</v>
      </c>
      <c r="Y4" s="48"/>
      <c r="Z4" s="49"/>
      <c r="AA4" s="37" t="s">
        <v>11</v>
      </c>
      <c r="AB4" s="37" t="s">
        <v>12</v>
      </c>
    </row>
    <row r="5" spans="1:29" ht="17.25" x14ac:dyDescent="0.25">
      <c r="A5" s="40"/>
      <c r="B5" s="9">
        <v>51</v>
      </c>
      <c r="C5" s="9">
        <v>52</v>
      </c>
      <c r="D5" s="10">
        <v>53</v>
      </c>
      <c r="E5" s="11" t="s">
        <v>13</v>
      </c>
      <c r="F5" s="9">
        <v>51</v>
      </c>
      <c r="G5" s="9">
        <v>52</v>
      </c>
      <c r="H5" s="9">
        <v>53</v>
      </c>
      <c r="I5" s="9">
        <v>51</v>
      </c>
      <c r="J5" s="9">
        <v>52</v>
      </c>
      <c r="K5" s="9">
        <v>53</v>
      </c>
      <c r="L5" s="10">
        <v>51</v>
      </c>
      <c r="M5" s="10">
        <v>52</v>
      </c>
      <c r="N5" s="10">
        <v>53</v>
      </c>
      <c r="O5" s="10">
        <v>51</v>
      </c>
      <c r="P5" s="10">
        <v>52</v>
      </c>
      <c r="Q5" s="10">
        <v>53</v>
      </c>
      <c r="R5" s="10">
        <v>51</v>
      </c>
      <c r="S5" s="10">
        <v>52</v>
      </c>
      <c r="T5" s="10">
        <v>53</v>
      </c>
      <c r="U5" s="9">
        <v>51</v>
      </c>
      <c r="V5" s="9">
        <v>52</v>
      </c>
      <c r="W5" s="10">
        <v>53</v>
      </c>
      <c r="X5" s="10">
        <v>51</v>
      </c>
      <c r="Y5" s="10">
        <v>52</v>
      </c>
      <c r="Z5" s="10">
        <v>53</v>
      </c>
      <c r="AA5" s="38"/>
      <c r="AB5" s="38"/>
    </row>
    <row r="6" spans="1:29" ht="17.25" x14ac:dyDescent="0.25">
      <c r="A6" s="38"/>
      <c r="B6" s="12">
        <v>1</v>
      </c>
      <c r="C6" s="12">
        <v>2</v>
      </c>
      <c r="D6" s="12">
        <v>3</v>
      </c>
      <c r="E6" s="12">
        <v>4</v>
      </c>
      <c r="F6" s="12">
        <v>5</v>
      </c>
      <c r="G6" s="12">
        <v>6</v>
      </c>
      <c r="H6" s="12">
        <v>7</v>
      </c>
      <c r="I6" s="12">
        <v>11</v>
      </c>
      <c r="J6" s="12">
        <v>12</v>
      </c>
      <c r="K6" s="12">
        <v>13</v>
      </c>
      <c r="L6" s="12">
        <v>8</v>
      </c>
      <c r="M6" s="12">
        <v>9</v>
      </c>
      <c r="N6" s="12">
        <v>10</v>
      </c>
      <c r="O6" s="12">
        <v>14</v>
      </c>
      <c r="P6" s="12">
        <v>15</v>
      </c>
      <c r="Q6" s="12">
        <v>16</v>
      </c>
      <c r="R6" s="12">
        <v>17</v>
      </c>
      <c r="S6" s="12">
        <v>18</v>
      </c>
      <c r="T6" s="12">
        <v>19</v>
      </c>
      <c r="U6" s="12">
        <v>20</v>
      </c>
      <c r="V6" s="12">
        <v>21</v>
      </c>
      <c r="W6" s="12">
        <v>22</v>
      </c>
      <c r="X6" s="12">
        <v>23</v>
      </c>
      <c r="Y6" s="12">
        <v>24</v>
      </c>
      <c r="Z6" s="12">
        <v>25</v>
      </c>
      <c r="AA6" s="12">
        <v>26</v>
      </c>
      <c r="AB6" s="12">
        <v>27</v>
      </c>
    </row>
    <row r="7" spans="1:29" ht="17.25" x14ac:dyDescent="0.3">
      <c r="A7" s="13" t="s">
        <v>14</v>
      </c>
      <c r="B7" s="14">
        <v>348488000</v>
      </c>
      <c r="C7" s="14">
        <v>2191888000</v>
      </c>
      <c r="D7" s="14"/>
      <c r="E7" s="15">
        <f>SUM(B7:D7)</f>
        <v>2540376000</v>
      </c>
      <c r="F7" s="16">
        <v>20</v>
      </c>
      <c r="G7" s="16">
        <v>15</v>
      </c>
      <c r="H7" s="16">
        <v>10</v>
      </c>
      <c r="I7" s="17">
        <f t="shared" ref="I7:I18" si="0">(B7/E7)*100</f>
        <v>13.717969308480319</v>
      </c>
      <c r="J7" s="17">
        <f t="shared" ref="J7:J18" si="1">(C7/E7)*100</f>
        <v>86.28203069151968</v>
      </c>
      <c r="K7" s="17">
        <f t="shared" ref="K7:K18" si="2">(D7/E7)*100</f>
        <v>0</v>
      </c>
      <c r="L7" s="18">
        <f t="shared" ref="L7:N18" si="3">B7*F7/100</f>
        <v>69697600</v>
      </c>
      <c r="M7" s="18">
        <f t="shared" si="3"/>
        <v>328783200</v>
      </c>
      <c r="N7" s="18">
        <f>D7*H7/100</f>
        <v>0</v>
      </c>
      <c r="O7" s="14">
        <v>0</v>
      </c>
      <c r="P7" s="14">
        <v>31405819</v>
      </c>
      <c r="Q7" s="19"/>
      <c r="R7" s="20">
        <f>O7</f>
        <v>0</v>
      </c>
      <c r="S7" s="20">
        <f>P7</f>
        <v>31405819</v>
      </c>
      <c r="T7" s="20">
        <f>Q7</f>
        <v>0</v>
      </c>
      <c r="U7" s="21">
        <f t="shared" ref="U7:V18" si="4">IF(R7/L7&gt;1,100,(R7/L7*100))</f>
        <v>0</v>
      </c>
      <c r="V7" s="21">
        <f t="shared" si="4"/>
        <v>9.55213617970748</v>
      </c>
      <c r="W7" s="22" t="str">
        <f>IFERROR(IF(T7/N7&gt;1,100,(T7/N7*100)),"0")</f>
        <v>0</v>
      </c>
      <c r="X7" s="23">
        <f t="shared" ref="X7:Z18" si="5">U7*I7/100</f>
        <v>0</v>
      </c>
      <c r="Y7" s="23">
        <f t="shared" si="5"/>
        <v>8.2417770702709632</v>
      </c>
      <c r="Z7" s="23">
        <f>W7*K7/100</f>
        <v>0</v>
      </c>
      <c r="AA7" s="24">
        <f>SUM(X7:Z7)</f>
        <v>8.2417770702709632</v>
      </c>
      <c r="AB7" s="24">
        <f>AA7</f>
        <v>8.2417770702709632</v>
      </c>
    </row>
    <row r="8" spans="1:29" ht="17.25" x14ac:dyDescent="0.3">
      <c r="A8" s="13" t="s">
        <v>15</v>
      </c>
      <c r="B8" s="14">
        <v>348488000</v>
      </c>
      <c r="C8" s="14">
        <v>2191888000</v>
      </c>
      <c r="D8" s="14"/>
      <c r="E8" s="15">
        <f t="shared" ref="E8:E18" si="6">SUM(B8:D8)</f>
        <v>2540376000</v>
      </c>
      <c r="F8" s="16">
        <v>20</v>
      </c>
      <c r="G8" s="16">
        <v>15</v>
      </c>
      <c r="H8" s="16">
        <v>10</v>
      </c>
      <c r="I8" s="17">
        <f t="shared" si="0"/>
        <v>13.717969308480319</v>
      </c>
      <c r="J8" s="17">
        <f t="shared" si="1"/>
        <v>86.28203069151968</v>
      </c>
      <c r="K8" s="17">
        <f t="shared" si="2"/>
        <v>0</v>
      </c>
      <c r="L8" s="18">
        <f t="shared" si="3"/>
        <v>69697600</v>
      </c>
      <c r="M8" s="18">
        <f t="shared" si="3"/>
        <v>328783200</v>
      </c>
      <c r="N8" s="18">
        <f t="shared" si="3"/>
        <v>0</v>
      </c>
      <c r="O8" s="14">
        <v>25182000</v>
      </c>
      <c r="P8" s="14">
        <v>136433961</v>
      </c>
      <c r="Q8" s="19"/>
      <c r="R8" s="20">
        <f>R7+O8</f>
        <v>25182000</v>
      </c>
      <c r="S8" s="20">
        <f>S7+P8</f>
        <v>167839780</v>
      </c>
      <c r="T8" s="20">
        <f>Q8+T7</f>
        <v>0</v>
      </c>
      <c r="U8" s="21">
        <f t="shared" si="4"/>
        <v>36.130368907968133</v>
      </c>
      <c r="V8" s="21">
        <f t="shared" si="4"/>
        <v>51.048770131807217</v>
      </c>
      <c r="W8" s="22" t="str">
        <f t="shared" ref="W8:W18" si="7">IFERROR(IF(T8/N8&gt;1,100,(T8/N8*100)),"0")</f>
        <v>0</v>
      </c>
      <c r="X8" s="23">
        <f t="shared" si="5"/>
        <v>4.9563529178357841</v>
      </c>
      <c r="Y8" s="23">
        <f t="shared" si="5"/>
        <v>44.045915512769234</v>
      </c>
      <c r="Z8" s="23">
        <f t="shared" si="5"/>
        <v>0</v>
      </c>
      <c r="AA8" s="24">
        <f>SUM(X8:Z8)</f>
        <v>49.002268430605021</v>
      </c>
      <c r="AB8" s="24">
        <f>AA8</f>
        <v>49.002268430605021</v>
      </c>
    </row>
    <row r="9" spans="1:29" ht="17.25" x14ac:dyDescent="0.3">
      <c r="A9" s="25" t="s">
        <v>16</v>
      </c>
      <c r="B9" s="14">
        <v>348488000</v>
      </c>
      <c r="C9" s="14">
        <v>2191888000</v>
      </c>
      <c r="D9" s="14"/>
      <c r="E9" s="15">
        <f t="shared" si="6"/>
        <v>2540376000</v>
      </c>
      <c r="F9" s="16">
        <v>20</v>
      </c>
      <c r="G9" s="16">
        <v>15</v>
      </c>
      <c r="H9" s="16">
        <v>10</v>
      </c>
      <c r="I9" s="17">
        <f t="shared" si="0"/>
        <v>13.717969308480319</v>
      </c>
      <c r="J9" s="17">
        <f t="shared" si="1"/>
        <v>86.28203069151968</v>
      </c>
      <c r="K9" s="17">
        <f t="shared" si="2"/>
        <v>0</v>
      </c>
      <c r="L9" s="18">
        <f t="shared" si="3"/>
        <v>69697600</v>
      </c>
      <c r="M9" s="18">
        <f t="shared" si="3"/>
        <v>328783200</v>
      </c>
      <c r="N9" s="18">
        <f t="shared" si="3"/>
        <v>0</v>
      </c>
      <c r="O9" s="14">
        <v>23805000</v>
      </c>
      <c r="P9" s="14">
        <v>184462016</v>
      </c>
      <c r="Q9" s="19"/>
      <c r="R9" s="20">
        <f t="shared" ref="R9:S18" si="8">R8+O9</f>
        <v>48987000</v>
      </c>
      <c r="S9" s="20">
        <f>S8+P9</f>
        <v>352301796</v>
      </c>
      <c r="T9" s="20">
        <f t="shared" ref="T9:T18" si="9">Q9+T8</f>
        <v>0</v>
      </c>
      <c r="U9" s="21">
        <f t="shared" si="4"/>
        <v>70.285060030761457</v>
      </c>
      <c r="V9" s="21">
        <f t="shared" si="4"/>
        <v>100</v>
      </c>
      <c r="W9" s="22" t="str">
        <f t="shared" si="7"/>
        <v>0</v>
      </c>
      <c r="X9" s="23">
        <f t="shared" si="5"/>
        <v>9.641682963466824</v>
      </c>
      <c r="Y9" s="23">
        <f t="shared" si="5"/>
        <v>86.28203069151968</v>
      </c>
      <c r="Z9" s="23">
        <f t="shared" si="5"/>
        <v>0</v>
      </c>
      <c r="AA9" s="24">
        <f t="shared" ref="AA9:AA18" si="10">SUM(X9:Z9)</f>
        <v>95.9237136549865</v>
      </c>
      <c r="AB9" s="26">
        <v>100</v>
      </c>
      <c r="AC9" s="27" t="s">
        <v>17</v>
      </c>
    </row>
    <row r="10" spans="1:29" ht="17.25" x14ac:dyDescent="0.3">
      <c r="A10" s="13" t="s">
        <v>18</v>
      </c>
      <c r="B10" s="14">
        <v>348488000</v>
      </c>
      <c r="C10" s="14">
        <v>2191888000</v>
      </c>
      <c r="D10" s="14"/>
      <c r="E10" s="15">
        <f t="shared" si="6"/>
        <v>2540376000</v>
      </c>
      <c r="F10" s="16">
        <v>50</v>
      </c>
      <c r="G10" s="16">
        <v>50</v>
      </c>
      <c r="H10" s="16">
        <v>40</v>
      </c>
      <c r="I10" s="17">
        <f t="shared" si="0"/>
        <v>13.717969308480319</v>
      </c>
      <c r="J10" s="17">
        <f t="shared" si="1"/>
        <v>86.28203069151968</v>
      </c>
      <c r="K10" s="17">
        <f t="shared" si="2"/>
        <v>0</v>
      </c>
      <c r="L10" s="18">
        <f t="shared" si="3"/>
        <v>174244000</v>
      </c>
      <c r="M10" s="18">
        <f t="shared" si="3"/>
        <v>1095944000</v>
      </c>
      <c r="N10" s="18">
        <f t="shared" si="3"/>
        <v>0</v>
      </c>
      <c r="O10" s="14">
        <v>26773000</v>
      </c>
      <c r="P10" s="14">
        <v>142980382</v>
      </c>
      <c r="Q10" s="19"/>
      <c r="R10" s="20">
        <f t="shared" si="8"/>
        <v>75760000</v>
      </c>
      <c r="S10" s="20">
        <f t="shared" si="8"/>
        <v>495282178</v>
      </c>
      <c r="T10" s="20">
        <f t="shared" si="9"/>
        <v>0</v>
      </c>
      <c r="U10" s="21">
        <f t="shared" si="4"/>
        <v>43.479258970179743</v>
      </c>
      <c r="V10" s="21">
        <f t="shared" si="4"/>
        <v>45.192288839575745</v>
      </c>
      <c r="W10" s="22" t="str">
        <f t="shared" si="7"/>
        <v>0</v>
      </c>
      <c r="X10" s="23">
        <f t="shared" si="5"/>
        <v>5.9644714010839337</v>
      </c>
      <c r="Y10" s="23">
        <f t="shared" si="5"/>
        <v>38.992824526762966</v>
      </c>
      <c r="Z10" s="23">
        <f t="shared" si="5"/>
        <v>0</v>
      </c>
      <c r="AA10" s="24">
        <f>SUM(X10:Z10)</f>
        <v>44.9572959278469</v>
      </c>
      <c r="AB10" s="24">
        <f>AVERAGE($AB$9,AA10)</f>
        <v>72.47864796392345</v>
      </c>
    </row>
    <row r="11" spans="1:29" ht="17.25" x14ac:dyDescent="0.3">
      <c r="A11" s="13" t="s">
        <v>19</v>
      </c>
      <c r="B11" s="14">
        <v>348488000</v>
      </c>
      <c r="C11" s="14">
        <v>2191888000</v>
      </c>
      <c r="D11" s="14"/>
      <c r="E11" s="15">
        <f t="shared" si="6"/>
        <v>2540376000</v>
      </c>
      <c r="F11" s="16">
        <v>50</v>
      </c>
      <c r="G11" s="16">
        <v>50</v>
      </c>
      <c r="H11" s="16">
        <v>40</v>
      </c>
      <c r="I11" s="17">
        <f t="shared" si="0"/>
        <v>13.717969308480319</v>
      </c>
      <c r="J11" s="17">
        <f t="shared" si="1"/>
        <v>86.28203069151968</v>
      </c>
      <c r="K11" s="17">
        <f t="shared" si="2"/>
        <v>0</v>
      </c>
      <c r="L11" s="18">
        <f t="shared" si="3"/>
        <v>174244000</v>
      </c>
      <c r="M11" s="18">
        <f t="shared" si="3"/>
        <v>1095944000</v>
      </c>
      <c r="N11" s="18">
        <f t="shared" si="3"/>
        <v>0</v>
      </c>
      <c r="O11" s="14">
        <v>19587000</v>
      </c>
      <c r="P11" s="14">
        <v>239130000</v>
      </c>
      <c r="Q11" s="19"/>
      <c r="R11" s="20">
        <f t="shared" si="8"/>
        <v>95347000</v>
      </c>
      <c r="S11" s="20">
        <f t="shared" si="8"/>
        <v>734412178</v>
      </c>
      <c r="T11" s="20">
        <f t="shared" si="9"/>
        <v>0</v>
      </c>
      <c r="U11" s="21">
        <f t="shared" si="4"/>
        <v>54.720392093845419</v>
      </c>
      <c r="V11" s="21">
        <f t="shared" si="4"/>
        <v>67.011834363799608</v>
      </c>
      <c r="W11" s="22" t="str">
        <f t="shared" si="7"/>
        <v>0</v>
      </c>
      <c r="X11" s="23">
        <f t="shared" si="5"/>
        <v>7.5065265929138061</v>
      </c>
      <c r="Y11" s="23">
        <f t="shared" si="5"/>
        <v>57.81917149272391</v>
      </c>
      <c r="Z11" s="23">
        <f t="shared" si="5"/>
        <v>0</v>
      </c>
      <c r="AA11" s="24">
        <f t="shared" si="10"/>
        <v>65.325698085637711</v>
      </c>
      <c r="AB11" s="24">
        <f>AVERAGE($AB$9,AA11)</f>
        <v>82.662849042818863</v>
      </c>
    </row>
    <row r="12" spans="1:29" ht="17.25" x14ac:dyDescent="0.3">
      <c r="A12" s="25" t="s">
        <v>20</v>
      </c>
      <c r="B12" s="14">
        <v>348488000</v>
      </c>
      <c r="C12" s="14">
        <v>2191888000</v>
      </c>
      <c r="D12" s="14"/>
      <c r="E12" s="15">
        <f t="shared" si="6"/>
        <v>2540376000</v>
      </c>
      <c r="F12" s="16">
        <v>50</v>
      </c>
      <c r="G12" s="16">
        <v>50</v>
      </c>
      <c r="H12" s="16">
        <v>40</v>
      </c>
      <c r="I12" s="17">
        <f t="shared" si="0"/>
        <v>13.717969308480319</v>
      </c>
      <c r="J12" s="17">
        <f t="shared" si="1"/>
        <v>86.28203069151968</v>
      </c>
      <c r="K12" s="17">
        <f t="shared" si="2"/>
        <v>0</v>
      </c>
      <c r="L12" s="18">
        <f t="shared" si="3"/>
        <v>174244000</v>
      </c>
      <c r="M12" s="18">
        <f t="shared" si="3"/>
        <v>1095944000</v>
      </c>
      <c r="N12" s="18">
        <f t="shared" si="3"/>
        <v>0</v>
      </c>
      <c r="O12" s="14">
        <v>25000000</v>
      </c>
      <c r="P12" s="14">
        <v>378530000</v>
      </c>
      <c r="Q12" s="19"/>
      <c r="R12" s="20">
        <f t="shared" si="8"/>
        <v>120347000</v>
      </c>
      <c r="S12" s="20">
        <f t="shared" si="8"/>
        <v>1112942178</v>
      </c>
      <c r="T12" s="20">
        <f t="shared" si="9"/>
        <v>0</v>
      </c>
      <c r="U12" s="21">
        <f t="shared" si="4"/>
        <v>69.068088427722046</v>
      </c>
      <c r="V12" s="21">
        <f t="shared" si="4"/>
        <v>100</v>
      </c>
      <c r="W12" s="22" t="str">
        <f t="shared" si="7"/>
        <v>0</v>
      </c>
      <c r="X12" s="23">
        <f t="shared" si="5"/>
        <v>9.474739172468956</v>
      </c>
      <c r="Y12" s="23">
        <f t="shared" si="5"/>
        <v>86.28203069151968</v>
      </c>
      <c r="Z12" s="23">
        <f t="shared" si="5"/>
        <v>0</v>
      </c>
      <c r="AA12" s="24">
        <f t="shared" si="10"/>
        <v>95.756769863988637</v>
      </c>
      <c r="AB12" s="28">
        <f>AVERAGE($AB$9,AA12)</f>
        <v>97.878384931994319</v>
      </c>
    </row>
    <row r="13" spans="1:29" ht="17.25" x14ac:dyDescent="0.3">
      <c r="A13" s="13" t="s">
        <v>21</v>
      </c>
      <c r="B13" s="14">
        <v>348488000</v>
      </c>
      <c r="C13" s="14">
        <v>2191888000</v>
      </c>
      <c r="D13" s="14"/>
      <c r="E13" s="15">
        <f t="shared" si="6"/>
        <v>2540376000</v>
      </c>
      <c r="F13" s="16">
        <v>75</v>
      </c>
      <c r="G13" s="16">
        <v>70</v>
      </c>
      <c r="H13" s="16">
        <v>70</v>
      </c>
      <c r="I13" s="17">
        <f t="shared" si="0"/>
        <v>13.717969308480319</v>
      </c>
      <c r="J13" s="17">
        <f t="shared" si="1"/>
        <v>86.28203069151968</v>
      </c>
      <c r="K13" s="17">
        <f t="shared" si="2"/>
        <v>0</v>
      </c>
      <c r="L13" s="18">
        <f t="shared" si="3"/>
        <v>261366000</v>
      </c>
      <c r="M13" s="18">
        <f t="shared" si="3"/>
        <v>1534321600</v>
      </c>
      <c r="N13" s="18">
        <f t="shared" si="3"/>
        <v>0</v>
      </c>
      <c r="O13" s="14">
        <v>29040000</v>
      </c>
      <c r="P13" s="14">
        <v>208575000</v>
      </c>
      <c r="Q13" s="19"/>
      <c r="R13" s="20">
        <f t="shared" si="8"/>
        <v>149387000</v>
      </c>
      <c r="S13" s="20">
        <f t="shared" si="8"/>
        <v>1321517178</v>
      </c>
      <c r="T13" s="20">
        <f t="shared" si="9"/>
        <v>0</v>
      </c>
      <c r="U13" s="21">
        <f t="shared" si="4"/>
        <v>57.156248326102101</v>
      </c>
      <c r="V13" s="21">
        <f t="shared" si="4"/>
        <v>86.130390004285928</v>
      </c>
      <c r="W13" s="22" t="str">
        <f t="shared" si="7"/>
        <v>0</v>
      </c>
      <c r="X13" s="23">
        <f t="shared" si="5"/>
        <v>7.840676603253482</v>
      </c>
      <c r="Y13" s="23">
        <f t="shared" si="5"/>
        <v>74.31504953822359</v>
      </c>
      <c r="Z13" s="23">
        <f t="shared" si="5"/>
        <v>0</v>
      </c>
      <c r="AA13" s="24">
        <f t="shared" si="10"/>
        <v>82.155726141477075</v>
      </c>
      <c r="AB13" s="24">
        <f>AVERAGE($AB$12,AA13)</f>
        <v>90.017055536735697</v>
      </c>
    </row>
    <row r="14" spans="1:29" ht="17.25" x14ac:dyDescent="0.3">
      <c r="A14" s="13" t="s">
        <v>22</v>
      </c>
      <c r="B14" s="14">
        <v>348488000</v>
      </c>
      <c r="C14" s="14">
        <v>2191888000</v>
      </c>
      <c r="D14" s="14"/>
      <c r="E14" s="15">
        <f t="shared" si="6"/>
        <v>2540376000</v>
      </c>
      <c r="F14" s="16">
        <v>75</v>
      </c>
      <c r="G14" s="16">
        <v>70</v>
      </c>
      <c r="H14" s="16">
        <v>70</v>
      </c>
      <c r="I14" s="17">
        <f t="shared" si="0"/>
        <v>13.717969308480319</v>
      </c>
      <c r="J14" s="17">
        <f t="shared" si="1"/>
        <v>86.28203069151968</v>
      </c>
      <c r="K14" s="17">
        <f t="shared" si="2"/>
        <v>0</v>
      </c>
      <c r="L14" s="18">
        <f t="shared" si="3"/>
        <v>261366000</v>
      </c>
      <c r="M14" s="18">
        <f t="shared" si="3"/>
        <v>1534321600</v>
      </c>
      <c r="N14" s="18">
        <f t="shared" si="3"/>
        <v>0</v>
      </c>
      <c r="O14" s="14">
        <v>29040000</v>
      </c>
      <c r="P14" s="14">
        <v>178575000</v>
      </c>
      <c r="Q14" s="19"/>
      <c r="R14" s="20">
        <f t="shared" si="8"/>
        <v>178427000</v>
      </c>
      <c r="S14" s="20">
        <f t="shared" si="8"/>
        <v>1500092178</v>
      </c>
      <c r="T14" s="20">
        <f t="shared" si="9"/>
        <v>0</v>
      </c>
      <c r="U14" s="21">
        <f t="shared" si="4"/>
        <v>68.267104367056163</v>
      </c>
      <c r="V14" s="21">
        <f t="shared" si="4"/>
        <v>97.769084264993737</v>
      </c>
      <c r="W14" s="22" t="str">
        <f t="shared" si="7"/>
        <v>0</v>
      </c>
      <c r="X14" s="23">
        <f t="shared" si="5"/>
        <v>9.3648604248609928</v>
      </c>
      <c r="Y14" s="23">
        <f t="shared" si="5"/>
        <v>84.357151292339637</v>
      </c>
      <c r="Z14" s="23">
        <f t="shared" si="5"/>
        <v>0</v>
      </c>
      <c r="AA14" s="24">
        <f t="shared" si="10"/>
        <v>93.72201171720063</v>
      </c>
      <c r="AB14" s="24">
        <f t="shared" ref="AB14" si="11">AVERAGE($AB$12,AA14)</f>
        <v>95.800198324597474</v>
      </c>
    </row>
    <row r="15" spans="1:29" ht="17.25" x14ac:dyDescent="0.3">
      <c r="A15" s="25" t="s">
        <v>23</v>
      </c>
      <c r="B15" s="14">
        <v>348488000</v>
      </c>
      <c r="C15" s="14">
        <v>2191888000</v>
      </c>
      <c r="D15" s="14"/>
      <c r="E15" s="15">
        <f t="shared" si="6"/>
        <v>2540376000</v>
      </c>
      <c r="F15" s="16">
        <v>75</v>
      </c>
      <c r="G15" s="16">
        <v>70</v>
      </c>
      <c r="H15" s="16">
        <v>70</v>
      </c>
      <c r="I15" s="17">
        <f t="shared" si="0"/>
        <v>13.717969308480319</v>
      </c>
      <c r="J15" s="17">
        <f t="shared" si="1"/>
        <v>86.28203069151968</v>
      </c>
      <c r="K15" s="17">
        <f t="shared" si="2"/>
        <v>0</v>
      </c>
      <c r="L15" s="18">
        <f t="shared" si="3"/>
        <v>261366000</v>
      </c>
      <c r="M15" s="18">
        <f t="shared" si="3"/>
        <v>1534321600</v>
      </c>
      <c r="N15" s="18">
        <f t="shared" si="3"/>
        <v>0</v>
      </c>
      <c r="O15" s="14">
        <v>29040000</v>
      </c>
      <c r="P15" s="14">
        <v>178575000</v>
      </c>
      <c r="Q15" s="19"/>
      <c r="R15" s="20">
        <f t="shared" si="8"/>
        <v>207467000</v>
      </c>
      <c r="S15" s="20">
        <f t="shared" si="8"/>
        <v>1678667178</v>
      </c>
      <c r="T15" s="20">
        <f t="shared" si="9"/>
        <v>0</v>
      </c>
      <c r="U15" s="21">
        <f t="shared" si="4"/>
        <v>79.377960408010225</v>
      </c>
      <c r="V15" s="21">
        <f t="shared" si="4"/>
        <v>100</v>
      </c>
      <c r="W15" s="22" t="str">
        <f t="shared" si="7"/>
        <v>0</v>
      </c>
      <c r="X15" s="23">
        <f t="shared" si="5"/>
        <v>10.889044246468503</v>
      </c>
      <c r="Y15" s="23">
        <f t="shared" si="5"/>
        <v>86.28203069151968</v>
      </c>
      <c r="Z15" s="23">
        <f t="shared" si="5"/>
        <v>0</v>
      </c>
      <c r="AA15" s="24">
        <f t="shared" si="10"/>
        <v>97.17107493798818</v>
      </c>
      <c r="AB15" s="28">
        <f>AVERAGE($AB$12,AA15)</f>
        <v>97.524729934991257</v>
      </c>
    </row>
    <row r="16" spans="1:29" ht="17.25" x14ac:dyDescent="0.3">
      <c r="A16" s="13" t="s">
        <v>24</v>
      </c>
      <c r="B16" s="14">
        <v>348488000</v>
      </c>
      <c r="C16" s="14">
        <v>2191888000</v>
      </c>
      <c r="D16" s="14"/>
      <c r="E16" s="15">
        <f>SUM(B16:D16)</f>
        <v>2540376000</v>
      </c>
      <c r="F16" s="16">
        <v>95</v>
      </c>
      <c r="G16" s="16">
        <v>90</v>
      </c>
      <c r="H16" s="16">
        <v>90</v>
      </c>
      <c r="I16" s="17">
        <f t="shared" si="0"/>
        <v>13.717969308480319</v>
      </c>
      <c r="J16" s="17">
        <f t="shared" si="1"/>
        <v>86.28203069151968</v>
      </c>
      <c r="K16" s="17">
        <f t="shared" si="2"/>
        <v>0</v>
      </c>
      <c r="L16" s="18">
        <f t="shared" si="3"/>
        <v>331063600</v>
      </c>
      <c r="M16" s="18">
        <f t="shared" si="3"/>
        <v>1972699200</v>
      </c>
      <c r="N16" s="18">
        <f t="shared" si="3"/>
        <v>0</v>
      </c>
      <c r="O16" s="14">
        <v>29040000</v>
      </c>
      <c r="P16" s="14">
        <v>178575000</v>
      </c>
      <c r="Q16" s="19"/>
      <c r="R16" s="20">
        <f t="shared" si="8"/>
        <v>236507000</v>
      </c>
      <c r="S16" s="20">
        <f t="shared" si="8"/>
        <v>1857242178</v>
      </c>
      <c r="T16" s="20">
        <f t="shared" si="9"/>
        <v>0</v>
      </c>
      <c r="U16" s="21">
        <f t="shared" si="4"/>
        <v>71.438539301813904</v>
      </c>
      <c r="V16" s="21">
        <f t="shared" si="4"/>
        <v>94.147256611651684</v>
      </c>
      <c r="W16" s="22" t="str">
        <f t="shared" si="7"/>
        <v>0</v>
      </c>
      <c r="X16" s="23">
        <f t="shared" si="5"/>
        <v>9.7999168958494813</v>
      </c>
      <c r="Y16" s="23">
        <f t="shared" si="5"/>
        <v>81.232164844889098</v>
      </c>
      <c r="Z16" s="23">
        <f t="shared" si="5"/>
        <v>0</v>
      </c>
      <c r="AA16" s="24">
        <f t="shared" si="10"/>
        <v>91.032081740738576</v>
      </c>
      <c r="AB16" s="24">
        <f>AVERAGE($AB$15,AA16)</f>
        <v>94.278405837864909</v>
      </c>
    </row>
    <row r="17" spans="1:28" ht="17.25" x14ac:dyDescent="0.3">
      <c r="A17" s="13" t="s">
        <v>25</v>
      </c>
      <c r="B17" s="14">
        <v>348488000</v>
      </c>
      <c r="C17" s="14">
        <v>2191888000</v>
      </c>
      <c r="D17" s="14"/>
      <c r="E17" s="15">
        <f t="shared" si="6"/>
        <v>2540376000</v>
      </c>
      <c r="F17" s="16">
        <v>95</v>
      </c>
      <c r="G17" s="16">
        <v>90</v>
      </c>
      <c r="H17" s="16">
        <v>90</v>
      </c>
      <c r="I17" s="17">
        <f t="shared" si="0"/>
        <v>13.717969308480319</v>
      </c>
      <c r="J17" s="17">
        <f t="shared" si="1"/>
        <v>86.28203069151968</v>
      </c>
      <c r="K17" s="17">
        <f t="shared" si="2"/>
        <v>0</v>
      </c>
      <c r="L17" s="18">
        <f t="shared" si="3"/>
        <v>331063600</v>
      </c>
      <c r="M17" s="18">
        <f t="shared" si="3"/>
        <v>1972699200</v>
      </c>
      <c r="N17" s="18">
        <f t="shared" si="3"/>
        <v>0</v>
      </c>
      <c r="O17" s="14">
        <v>29040000</v>
      </c>
      <c r="P17" s="14">
        <v>178575000</v>
      </c>
      <c r="Q17" s="19"/>
      <c r="R17" s="20">
        <f t="shared" si="8"/>
        <v>265547000</v>
      </c>
      <c r="S17" s="20">
        <f t="shared" si="8"/>
        <v>2035817178</v>
      </c>
      <c r="T17" s="20">
        <f t="shared" si="9"/>
        <v>0</v>
      </c>
      <c r="U17" s="21">
        <f t="shared" si="4"/>
        <v>80.2102677551987</v>
      </c>
      <c r="V17" s="21">
        <f t="shared" si="4"/>
        <v>100</v>
      </c>
      <c r="W17" s="22" t="str">
        <f t="shared" si="7"/>
        <v>0</v>
      </c>
      <c r="X17" s="23">
        <f t="shared" si="5"/>
        <v>11.003219912908044</v>
      </c>
      <c r="Y17" s="23">
        <f t="shared" si="5"/>
        <v>86.28203069151968</v>
      </c>
      <c r="Z17" s="23">
        <f t="shared" si="5"/>
        <v>0</v>
      </c>
      <c r="AA17" s="24">
        <f t="shared" si="10"/>
        <v>97.285250604427716</v>
      </c>
      <c r="AB17" s="24">
        <f t="shared" ref="AB17" si="12">AVERAGE($AB$15,AA17)</f>
        <v>97.404990269709486</v>
      </c>
    </row>
    <row r="18" spans="1:28" ht="17.25" x14ac:dyDescent="0.3">
      <c r="A18" s="25" t="s">
        <v>26</v>
      </c>
      <c r="B18" s="14">
        <v>348488000</v>
      </c>
      <c r="C18" s="14">
        <v>2191888000</v>
      </c>
      <c r="D18" s="14"/>
      <c r="E18" s="15">
        <f t="shared" si="6"/>
        <v>2540376000</v>
      </c>
      <c r="F18" s="16">
        <v>95</v>
      </c>
      <c r="G18" s="16">
        <v>90</v>
      </c>
      <c r="H18" s="16">
        <v>90</v>
      </c>
      <c r="I18" s="17">
        <f t="shared" si="0"/>
        <v>13.717969308480319</v>
      </c>
      <c r="J18" s="17">
        <f t="shared" si="1"/>
        <v>86.28203069151968</v>
      </c>
      <c r="K18" s="17">
        <f t="shared" si="2"/>
        <v>0</v>
      </c>
      <c r="L18" s="18">
        <f t="shared" si="3"/>
        <v>331063600</v>
      </c>
      <c r="M18" s="18">
        <f t="shared" si="3"/>
        <v>1972699200</v>
      </c>
      <c r="N18" s="18">
        <f t="shared" si="3"/>
        <v>0</v>
      </c>
      <c r="O18" s="14">
        <v>82941000</v>
      </c>
      <c r="P18" s="14">
        <v>156070822</v>
      </c>
      <c r="Q18" s="19"/>
      <c r="R18" s="20">
        <f t="shared" si="8"/>
        <v>348488000</v>
      </c>
      <c r="S18" s="20">
        <f t="shared" si="8"/>
        <v>2191888000</v>
      </c>
      <c r="T18" s="20">
        <f t="shared" si="9"/>
        <v>0</v>
      </c>
      <c r="U18" s="21">
        <f t="shared" si="4"/>
        <v>100</v>
      </c>
      <c r="V18" s="21">
        <f t="shared" si="4"/>
        <v>100</v>
      </c>
      <c r="W18" s="22" t="str">
        <f t="shared" si="7"/>
        <v>0</v>
      </c>
      <c r="X18" s="23">
        <f t="shared" si="5"/>
        <v>13.717969308480319</v>
      </c>
      <c r="Y18" s="23">
        <f t="shared" si="5"/>
        <v>86.28203069151968</v>
      </c>
      <c r="Z18" s="23">
        <f t="shared" si="5"/>
        <v>0</v>
      </c>
      <c r="AA18" s="24">
        <f t="shared" si="10"/>
        <v>100</v>
      </c>
      <c r="AB18" s="28">
        <f>AVERAGE($AB$15,AA18)</f>
        <v>98.762364967495628</v>
      </c>
    </row>
    <row r="19" spans="1:28" x14ac:dyDescent="0.25">
      <c r="O19" s="29">
        <f>SUM(O7:O18)</f>
        <v>348488000</v>
      </c>
      <c r="P19" s="29">
        <f t="shared" ref="P19:Q19" si="13">SUM(P7:P18)</f>
        <v>2191888000</v>
      </c>
      <c r="Q19" s="29">
        <f t="shared" si="13"/>
        <v>0</v>
      </c>
    </row>
    <row r="20" spans="1:28" x14ac:dyDescent="0.25">
      <c r="Q20" s="30"/>
    </row>
    <row r="21" spans="1:28" x14ac:dyDescent="0.25">
      <c r="Q21" s="31"/>
    </row>
  </sheetData>
  <mergeCells count="12">
    <mergeCell ref="AA4:AA5"/>
    <mergeCell ref="AB4:AB5"/>
    <mergeCell ref="A2:AB2"/>
    <mergeCell ref="A4:A6"/>
    <mergeCell ref="B4:D4"/>
    <mergeCell ref="F4:H4"/>
    <mergeCell ref="I4:K4"/>
    <mergeCell ref="L4:N4"/>
    <mergeCell ref="O4:Q4"/>
    <mergeCell ref="R4:T4"/>
    <mergeCell ref="U4:W4"/>
    <mergeCell ref="X4:Z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D26C-7CA5-4674-AFF6-72F94F34F7F8}">
  <dimension ref="A1:Y18"/>
  <sheetViews>
    <sheetView tabSelected="1" workbookViewId="0">
      <selection activeCell="O12" sqref="O12"/>
    </sheetView>
  </sheetViews>
  <sheetFormatPr defaultRowHeight="15" x14ac:dyDescent="0.25"/>
  <cols>
    <col min="2" max="4" width="9.28515625" customWidth="1"/>
    <col min="5" max="5" width="10.28515625" customWidth="1"/>
    <col min="6" max="8" width="6.5703125" customWidth="1"/>
    <col min="12" max="14" width="6.28515625" customWidth="1"/>
  </cols>
  <sheetData>
    <row r="1" spans="1:25" ht="18.75" x14ac:dyDescent="0.3">
      <c r="A1" s="1" t="s">
        <v>0</v>
      </c>
      <c r="B1" s="1"/>
      <c r="C1" s="1"/>
      <c r="D1" s="32"/>
      <c r="E1" s="32"/>
    </row>
    <row r="2" spans="1:25" s="6" customFormat="1" ht="18.75" x14ac:dyDescent="0.3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4" spans="1:25" ht="17.25" x14ac:dyDescent="0.25">
      <c r="A4" s="37" t="s">
        <v>2</v>
      </c>
      <c r="B4" s="41" t="s">
        <v>3</v>
      </c>
      <c r="C4" s="42"/>
      <c r="D4" s="43"/>
      <c r="E4" s="7"/>
      <c r="F4" s="41" t="s">
        <v>4</v>
      </c>
      <c r="G4" s="42"/>
      <c r="H4" s="43"/>
      <c r="I4" s="41" t="s">
        <v>6</v>
      </c>
      <c r="J4" s="42"/>
      <c r="K4" s="43"/>
      <c r="L4" s="41" t="s">
        <v>5</v>
      </c>
      <c r="M4" s="42"/>
      <c r="N4" s="43"/>
      <c r="O4" s="41" t="s">
        <v>27</v>
      </c>
      <c r="P4" s="42"/>
      <c r="Q4" s="43"/>
      <c r="R4" s="41" t="s">
        <v>28</v>
      </c>
      <c r="S4" s="42"/>
      <c r="T4" s="43"/>
      <c r="U4" s="41" t="s">
        <v>29</v>
      </c>
      <c r="V4" s="42"/>
      <c r="W4" s="43"/>
      <c r="X4" s="37" t="s">
        <v>11</v>
      </c>
      <c r="Y4" s="37" t="s">
        <v>12</v>
      </c>
    </row>
    <row r="5" spans="1:25" ht="34.5" x14ac:dyDescent="0.25">
      <c r="A5" s="40"/>
      <c r="B5" s="33">
        <v>51</v>
      </c>
      <c r="C5" s="33">
        <v>52</v>
      </c>
      <c r="D5" s="33">
        <v>53</v>
      </c>
      <c r="E5" s="33" t="s">
        <v>13</v>
      </c>
      <c r="F5" s="33">
        <v>51</v>
      </c>
      <c r="G5" s="33">
        <v>52</v>
      </c>
      <c r="H5" s="33">
        <v>53</v>
      </c>
      <c r="I5" s="33">
        <v>51</v>
      </c>
      <c r="J5" s="33">
        <v>52</v>
      </c>
      <c r="K5" s="33">
        <v>53</v>
      </c>
      <c r="L5" s="33">
        <v>51</v>
      </c>
      <c r="M5" s="33">
        <v>52</v>
      </c>
      <c r="N5" s="33">
        <v>53</v>
      </c>
      <c r="O5" s="33">
        <v>51</v>
      </c>
      <c r="P5" s="33">
        <v>52</v>
      </c>
      <c r="Q5" s="33">
        <v>53</v>
      </c>
      <c r="R5" s="33">
        <v>51</v>
      </c>
      <c r="S5" s="33">
        <v>52</v>
      </c>
      <c r="T5" s="33">
        <v>53</v>
      </c>
      <c r="U5" s="33">
        <v>51</v>
      </c>
      <c r="V5" s="33">
        <v>52</v>
      </c>
      <c r="W5" s="33">
        <v>53</v>
      </c>
      <c r="X5" s="38"/>
      <c r="Y5" s="38"/>
    </row>
    <row r="6" spans="1:25" ht="17.25" x14ac:dyDescent="0.25">
      <c r="A6" s="38"/>
      <c r="B6" s="12">
        <v>1</v>
      </c>
      <c r="C6" s="12">
        <v>2</v>
      </c>
      <c r="D6" s="12">
        <v>3</v>
      </c>
      <c r="E6" s="12">
        <v>4</v>
      </c>
      <c r="F6" s="12">
        <v>5</v>
      </c>
      <c r="G6" s="12">
        <v>6</v>
      </c>
      <c r="H6" s="12">
        <v>7</v>
      </c>
      <c r="I6" s="12">
        <v>8</v>
      </c>
      <c r="J6" s="12">
        <v>9</v>
      </c>
      <c r="K6" s="12">
        <v>10</v>
      </c>
      <c r="L6" s="12">
        <v>11</v>
      </c>
      <c r="M6" s="12">
        <v>12</v>
      </c>
      <c r="N6" s="12">
        <v>13</v>
      </c>
      <c r="O6" s="12">
        <v>14</v>
      </c>
      <c r="P6" s="12">
        <v>15</v>
      </c>
      <c r="Q6" s="12">
        <v>16</v>
      </c>
      <c r="R6" s="12">
        <v>17</v>
      </c>
      <c r="S6" s="12">
        <v>18</v>
      </c>
      <c r="T6" s="12">
        <v>19</v>
      </c>
      <c r="U6" s="12">
        <v>20</v>
      </c>
      <c r="V6" s="12">
        <v>21</v>
      </c>
      <c r="W6" s="12">
        <v>22</v>
      </c>
      <c r="X6" s="12">
        <v>23</v>
      </c>
      <c r="Y6" s="12">
        <v>24</v>
      </c>
    </row>
    <row r="7" spans="1:25" ht="17.25" x14ac:dyDescent="0.3">
      <c r="A7" s="13" t="s">
        <v>14</v>
      </c>
      <c r="B7" s="34">
        <v>250</v>
      </c>
      <c r="C7" s="34">
        <v>200</v>
      </c>
      <c r="D7" s="34">
        <v>50</v>
      </c>
      <c r="E7" s="35">
        <f>SUM(B7:D7)</f>
        <v>500</v>
      </c>
      <c r="F7" s="16">
        <v>20</v>
      </c>
      <c r="G7" s="16">
        <v>15</v>
      </c>
      <c r="H7" s="16">
        <v>10</v>
      </c>
      <c r="I7" s="18">
        <f>B7*F7/100</f>
        <v>50</v>
      </c>
      <c r="J7" s="18">
        <f>C7*G7/100</f>
        <v>30</v>
      </c>
      <c r="K7" s="18">
        <f>D7*H7/100</f>
        <v>5</v>
      </c>
      <c r="L7" s="17">
        <f>(B7/E7)*100</f>
        <v>50</v>
      </c>
      <c r="M7" s="17">
        <f>(C7/E7)*100</f>
        <v>40</v>
      </c>
      <c r="N7" s="17">
        <f>(D7/E7)*100</f>
        <v>10</v>
      </c>
      <c r="O7" s="34">
        <v>20</v>
      </c>
      <c r="P7" s="34">
        <v>4.5</v>
      </c>
      <c r="Q7" s="34">
        <v>0</v>
      </c>
      <c r="R7" s="21">
        <f>IF(O7/I7&gt;1,100,(O7/I7*100))</f>
        <v>40</v>
      </c>
      <c r="S7" s="21">
        <f>IF(P7/J7&gt;1,100,(P7/J7*100))</f>
        <v>15</v>
      </c>
      <c r="T7" s="21">
        <f>IF(Q7/K7&gt;1,100,(Q7/K7*100))</f>
        <v>0</v>
      </c>
      <c r="U7" s="36">
        <f>R7*L7/100</f>
        <v>20</v>
      </c>
      <c r="V7" s="36">
        <f t="shared" ref="V7:W18" si="0">S7*M7/100</f>
        <v>6</v>
      </c>
      <c r="W7" s="36">
        <f t="shared" si="0"/>
        <v>0</v>
      </c>
      <c r="X7" s="24">
        <f>SUM(U7:W7)</f>
        <v>26</v>
      </c>
      <c r="Y7" s="24">
        <f>X7</f>
        <v>26</v>
      </c>
    </row>
    <row r="8" spans="1:25" ht="17.25" x14ac:dyDescent="0.3">
      <c r="A8" s="13" t="s">
        <v>15</v>
      </c>
      <c r="B8" s="34">
        <v>250</v>
      </c>
      <c r="C8" s="34">
        <v>200</v>
      </c>
      <c r="D8" s="34">
        <v>50</v>
      </c>
      <c r="E8" s="35">
        <f t="shared" ref="E8:E18" si="1">SUM(B8:D8)</f>
        <v>500</v>
      </c>
      <c r="F8" s="16">
        <v>20</v>
      </c>
      <c r="G8" s="16">
        <v>15</v>
      </c>
      <c r="H8" s="16">
        <v>10</v>
      </c>
      <c r="I8" s="18">
        <f t="shared" ref="I8:K18" si="2">B8*F8/100</f>
        <v>50</v>
      </c>
      <c r="J8" s="18">
        <f t="shared" si="2"/>
        <v>30</v>
      </c>
      <c r="K8" s="18">
        <f t="shared" si="2"/>
        <v>5</v>
      </c>
      <c r="L8" s="17">
        <f t="shared" ref="L8:L18" si="3">(B8/E8)*100</f>
        <v>50</v>
      </c>
      <c r="M8" s="17">
        <f t="shared" ref="M8:M18" si="4">(C8/E8)*100</f>
        <v>40</v>
      </c>
      <c r="N8" s="17">
        <f t="shared" ref="N8:N18" si="5">(D8/E8)*100</f>
        <v>10</v>
      </c>
      <c r="O8" s="34">
        <v>40</v>
      </c>
      <c r="P8" s="34">
        <v>16.5</v>
      </c>
      <c r="Q8" s="34">
        <v>5</v>
      </c>
      <c r="R8" s="21">
        <f t="shared" ref="R8:T18" si="6">IF(O8/I8&gt;1,100,(O8/I8*100))</f>
        <v>80</v>
      </c>
      <c r="S8" s="21">
        <f t="shared" si="6"/>
        <v>55.000000000000007</v>
      </c>
      <c r="T8" s="21">
        <f t="shared" si="6"/>
        <v>100</v>
      </c>
      <c r="U8" s="36">
        <f t="shared" ref="U8:U18" si="7">R8*L8/100</f>
        <v>40</v>
      </c>
      <c r="V8" s="36">
        <f t="shared" si="0"/>
        <v>22.000000000000004</v>
      </c>
      <c r="W8" s="36">
        <f t="shared" si="0"/>
        <v>10</v>
      </c>
      <c r="X8" s="24">
        <f t="shared" ref="X8:X18" si="8">SUM(U8:W8)</f>
        <v>72</v>
      </c>
      <c r="Y8" s="24">
        <f>X8</f>
        <v>72</v>
      </c>
    </row>
    <row r="9" spans="1:25" ht="17.25" x14ac:dyDescent="0.3">
      <c r="A9" s="25" t="s">
        <v>16</v>
      </c>
      <c r="B9" s="34">
        <v>250</v>
      </c>
      <c r="C9" s="34">
        <v>200</v>
      </c>
      <c r="D9" s="34">
        <v>50</v>
      </c>
      <c r="E9" s="35">
        <f t="shared" si="1"/>
        <v>500</v>
      </c>
      <c r="F9" s="16">
        <v>20</v>
      </c>
      <c r="G9" s="16">
        <v>15</v>
      </c>
      <c r="H9" s="16">
        <v>10</v>
      </c>
      <c r="I9" s="18">
        <f t="shared" si="2"/>
        <v>50</v>
      </c>
      <c r="J9" s="18">
        <f t="shared" si="2"/>
        <v>30</v>
      </c>
      <c r="K9" s="18">
        <f t="shared" si="2"/>
        <v>5</v>
      </c>
      <c r="L9" s="17">
        <f t="shared" si="3"/>
        <v>50</v>
      </c>
      <c r="M9" s="17">
        <f t="shared" si="4"/>
        <v>40</v>
      </c>
      <c r="N9" s="17">
        <f t="shared" si="5"/>
        <v>10</v>
      </c>
      <c r="O9" s="34">
        <v>60</v>
      </c>
      <c r="P9" s="34">
        <v>24.5</v>
      </c>
      <c r="Q9" s="34">
        <v>7</v>
      </c>
      <c r="R9" s="21">
        <f t="shared" si="6"/>
        <v>100</v>
      </c>
      <c r="S9" s="21">
        <f t="shared" si="6"/>
        <v>81.666666666666671</v>
      </c>
      <c r="T9" s="21">
        <f t="shared" si="6"/>
        <v>100</v>
      </c>
      <c r="U9" s="36">
        <f t="shared" si="7"/>
        <v>50</v>
      </c>
      <c r="V9" s="36">
        <f t="shared" si="0"/>
        <v>32.666666666666671</v>
      </c>
      <c r="W9" s="36">
        <f t="shared" si="0"/>
        <v>10</v>
      </c>
      <c r="X9" s="24">
        <f t="shared" si="8"/>
        <v>92.666666666666671</v>
      </c>
      <c r="Y9" s="28">
        <f>X9</f>
        <v>92.666666666666671</v>
      </c>
    </row>
    <row r="10" spans="1:25" ht="17.25" x14ac:dyDescent="0.3">
      <c r="A10" s="13" t="s">
        <v>18</v>
      </c>
      <c r="B10" s="34">
        <v>250</v>
      </c>
      <c r="C10" s="34">
        <v>250</v>
      </c>
      <c r="D10" s="34">
        <v>50</v>
      </c>
      <c r="E10" s="35">
        <f t="shared" si="1"/>
        <v>550</v>
      </c>
      <c r="F10" s="16">
        <v>50</v>
      </c>
      <c r="G10" s="16">
        <v>50</v>
      </c>
      <c r="H10" s="16">
        <v>40</v>
      </c>
      <c r="I10" s="18">
        <f t="shared" si="2"/>
        <v>125</v>
      </c>
      <c r="J10" s="18">
        <f t="shared" si="2"/>
        <v>125</v>
      </c>
      <c r="K10" s="18">
        <f t="shared" si="2"/>
        <v>20</v>
      </c>
      <c r="L10" s="17">
        <f t="shared" si="3"/>
        <v>45.454545454545453</v>
      </c>
      <c r="M10" s="17">
        <f t="shared" si="4"/>
        <v>45.454545454545453</v>
      </c>
      <c r="N10" s="17">
        <f t="shared" si="5"/>
        <v>9.0909090909090917</v>
      </c>
      <c r="O10" s="34">
        <v>102</v>
      </c>
      <c r="P10" s="34">
        <v>29.5</v>
      </c>
      <c r="Q10" s="34">
        <v>12</v>
      </c>
      <c r="R10" s="21">
        <f t="shared" si="6"/>
        <v>81.599999999999994</v>
      </c>
      <c r="S10" s="21">
        <f t="shared" si="6"/>
        <v>23.599999999999998</v>
      </c>
      <c r="T10" s="21">
        <f t="shared" si="6"/>
        <v>60</v>
      </c>
      <c r="U10" s="36">
        <f t="shared" si="7"/>
        <v>37.090909090909086</v>
      </c>
      <c r="V10" s="36">
        <f t="shared" si="0"/>
        <v>10.727272727272725</v>
      </c>
      <c r="W10" s="36">
        <f t="shared" si="0"/>
        <v>5.454545454545455</v>
      </c>
      <c r="X10" s="24">
        <f t="shared" si="8"/>
        <v>53.272727272727266</v>
      </c>
      <c r="Y10" s="24">
        <f>AVERAGE($Y$9,X10)</f>
        <v>72.969696969696969</v>
      </c>
    </row>
    <row r="11" spans="1:25" ht="17.25" x14ac:dyDescent="0.3">
      <c r="A11" s="13" t="s">
        <v>19</v>
      </c>
      <c r="B11" s="34">
        <v>250</v>
      </c>
      <c r="C11" s="34">
        <v>250</v>
      </c>
      <c r="D11" s="34">
        <v>50</v>
      </c>
      <c r="E11" s="35">
        <f t="shared" si="1"/>
        <v>550</v>
      </c>
      <c r="F11" s="16">
        <v>50</v>
      </c>
      <c r="G11" s="16">
        <v>50</v>
      </c>
      <c r="H11" s="16">
        <v>40</v>
      </c>
      <c r="I11" s="18">
        <f t="shared" si="2"/>
        <v>125</v>
      </c>
      <c r="J11" s="18">
        <f t="shared" si="2"/>
        <v>125</v>
      </c>
      <c r="K11" s="18">
        <f t="shared" si="2"/>
        <v>20</v>
      </c>
      <c r="L11" s="17">
        <f t="shared" si="3"/>
        <v>45.454545454545453</v>
      </c>
      <c r="M11" s="17">
        <f t="shared" si="4"/>
        <v>45.454545454545453</v>
      </c>
      <c r="N11" s="17">
        <f t="shared" si="5"/>
        <v>9.0909090909090917</v>
      </c>
      <c r="O11" s="34">
        <v>122</v>
      </c>
      <c r="P11" s="34">
        <v>43.5</v>
      </c>
      <c r="Q11" s="34">
        <v>17</v>
      </c>
      <c r="R11" s="21">
        <f t="shared" si="6"/>
        <v>97.6</v>
      </c>
      <c r="S11" s="21">
        <f t="shared" si="6"/>
        <v>34.799999999999997</v>
      </c>
      <c r="T11" s="21">
        <f t="shared" si="6"/>
        <v>85</v>
      </c>
      <c r="U11" s="36">
        <f t="shared" si="7"/>
        <v>44.36363636363636</v>
      </c>
      <c r="V11" s="36">
        <f t="shared" si="0"/>
        <v>15.818181818181818</v>
      </c>
      <c r="W11" s="36">
        <f t="shared" si="0"/>
        <v>7.7272727272727275</v>
      </c>
      <c r="X11" s="24">
        <f t="shared" si="8"/>
        <v>67.909090909090907</v>
      </c>
      <c r="Y11" s="24">
        <f>AVERAGE($Y$9,X11)</f>
        <v>80.287878787878782</v>
      </c>
    </row>
    <row r="12" spans="1:25" ht="17.25" x14ac:dyDescent="0.3">
      <c r="A12" s="25" t="s">
        <v>20</v>
      </c>
      <c r="B12" s="34">
        <v>250</v>
      </c>
      <c r="C12" s="34">
        <v>250</v>
      </c>
      <c r="D12" s="34">
        <v>50</v>
      </c>
      <c r="E12" s="35">
        <f t="shared" si="1"/>
        <v>550</v>
      </c>
      <c r="F12" s="16">
        <v>50</v>
      </c>
      <c r="G12" s="16">
        <v>50</v>
      </c>
      <c r="H12" s="16">
        <v>40</v>
      </c>
      <c r="I12" s="18">
        <f t="shared" si="2"/>
        <v>125</v>
      </c>
      <c r="J12" s="18">
        <f t="shared" si="2"/>
        <v>125</v>
      </c>
      <c r="K12" s="18">
        <f t="shared" si="2"/>
        <v>20</v>
      </c>
      <c r="L12" s="17">
        <f t="shared" si="3"/>
        <v>45.454545454545453</v>
      </c>
      <c r="M12" s="17">
        <f t="shared" si="4"/>
        <v>45.454545454545453</v>
      </c>
      <c r="N12" s="17">
        <f t="shared" si="5"/>
        <v>9.0909090909090917</v>
      </c>
      <c r="O12" s="34">
        <v>164</v>
      </c>
      <c r="P12" s="34">
        <v>63.5</v>
      </c>
      <c r="Q12" s="34">
        <v>22</v>
      </c>
      <c r="R12" s="21">
        <f t="shared" si="6"/>
        <v>100</v>
      </c>
      <c r="S12" s="21">
        <f t="shared" si="6"/>
        <v>50.8</v>
      </c>
      <c r="T12" s="21">
        <f t="shared" si="6"/>
        <v>100</v>
      </c>
      <c r="U12" s="36">
        <f t="shared" si="7"/>
        <v>45.454545454545453</v>
      </c>
      <c r="V12" s="36">
        <f t="shared" si="0"/>
        <v>23.09090909090909</v>
      </c>
      <c r="W12" s="36">
        <f t="shared" si="0"/>
        <v>9.0909090909090917</v>
      </c>
      <c r="X12" s="24">
        <f t="shared" si="8"/>
        <v>77.63636363636364</v>
      </c>
      <c r="Y12" s="28">
        <f>AVERAGE($Y$9,X12)</f>
        <v>85.151515151515156</v>
      </c>
    </row>
    <row r="13" spans="1:25" ht="17.25" x14ac:dyDescent="0.3">
      <c r="A13" s="13" t="s">
        <v>21</v>
      </c>
      <c r="B13" s="34">
        <v>250</v>
      </c>
      <c r="C13" s="34">
        <v>250</v>
      </c>
      <c r="D13" s="34">
        <v>50</v>
      </c>
      <c r="E13" s="35">
        <f t="shared" si="1"/>
        <v>550</v>
      </c>
      <c r="F13" s="16">
        <v>50</v>
      </c>
      <c r="G13" s="16">
        <v>50</v>
      </c>
      <c r="H13" s="16">
        <v>40</v>
      </c>
      <c r="I13" s="18">
        <f t="shared" si="2"/>
        <v>125</v>
      </c>
      <c r="J13" s="18">
        <f t="shared" si="2"/>
        <v>125</v>
      </c>
      <c r="K13" s="18">
        <f t="shared" si="2"/>
        <v>20</v>
      </c>
      <c r="L13" s="17">
        <f t="shared" si="3"/>
        <v>45.454545454545453</v>
      </c>
      <c r="M13" s="17">
        <f t="shared" si="4"/>
        <v>45.454545454545453</v>
      </c>
      <c r="N13" s="17">
        <f t="shared" si="5"/>
        <v>9.0909090909090917</v>
      </c>
      <c r="O13" s="34">
        <v>164</v>
      </c>
      <c r="P13" s="34">
        <v>80</v>
      </c>
      <c r="Q13" s="34">
        <v>25</v>
      </c>
      <c r="R13" s="21">
        <f t="shared" si="6"/>
        <v>100</v>
      </c>
      <c r="S13" s="21">
        <f t="shared" si="6"/>
        <v>64</v>
      </c>
      <c r="T13" s="21">
        <f t="shared" si="6"/>
        <v>100</v>
      </c>
      <c r="U13" s="36">
        <f t="shared" si="7"/>
        <v>45.454545454545453</v>
      </c>
      <c r="V13" s="36">
        <f t="shared" si="0"/>
        <v>29.09090909090909</v>
      </c>
      <c r="W13" s="36">
        <f t="shared" si="0"/>
        <v>9.0909090909090917</v>
      </c>
      <c r="X13" s="24">
        <f t="shared" si="8"/>
        <v>83.63636363636364</v>
      </c>
      <c r="Y13" s="24">
        <f>AVERAGE($Y$12,X13)</f>
        <v>84.393939393939405</v>
      </c>
    </row>
    <row r="14" spans="1:25" ht="17.25" x14ac:dyDescent="0.3">
      <c r="A14" s="13" t="s">
        <v>22</v>
      </c>
      <c r="B14" s="34">
        <v>250</v>
      </c>
      <c r="C14" s="34">
        <v>250</v>
      </c>
      <c r="D14" s="34">
        <v>50</v>
      </c>
      <c r="E14" s="35">
        <f t="shared" si="1"/>
        <v>550</v>
      </c>
      <c r="F14" s="16">
        <v>50</v>
      </c>
      <c r="G14" s="16">
        <v>50</v>
      </c>
      <c r="H14" s="16">
        <v>40</v>
      </c>
      <c r="I14" s="18">
        <f t="shared" si="2"/>
        <v>125</v>
      </c>
      <c r="J14" s="18">
        <f t="shared" si="2"/>
        <v>125</v>
      </c>
      <c r="K14" s="18">
        <f t="shared" si="2"/>
        <v>20</v>
      </c>
      <c r="L14" s="17">
        <f t="shared" si="3"/>
        <v>45.454545454545453</v>
      </c>
      <c r="M14" s="17">
        <f t="shared" si="4"/>
        <v>45.454545454545453</v>
      </c>
      <c r="N14" s="17">
        <f t="shared" si="5"/>
        <v>9.0909090909090917</v>
      </c>
      <c r="O14" s="34">
        <v>164</v>
      </c>
      <c r="P14" s="34">
        <v>90</v>
      </c>
      <c r="Q14" s="34">
        <v>28</v>
      </c>
      <c r="R14" s="21">
        <f t="shared" si="6"/>
        <v>100</v>
      </c>
      <c r="S14" s="21">
        <f t="shared" si="6"/>
        <v>72</v>
      </c>
      <c r="T14" s="21">
        <f t="shared" si="6"/>
        <v>100</v>
      </c>
      <c r="U14" s="36">
        <f t="shared" si="7"/>
        <v>45.454545454545453</v>
      </c>
      <c r="V14" s="36">
        <f t="shared" si="0"/>
        <v>32.727272727272727</v>
      </c>
      <c r="W14" s="36">
        <f t="shared" si="0"/>
        <v>9.0909090909090917</v>
      </c>
      <c r="X14" s="24">
        <f t="shared" si="8"/>
        <v>87.27272727272728</v>
      </c>
      <c r="Y14" s="24">
        <f t="shared" ref="Y14" si="9">AVERAGE($Y$12,X14)</f>
        <v>86.212121212121218</v>
      </c>
    </row>
    <row r="15" spans="1:25" ht="17.25" x14ac:dyDescent="0.3">
      <c r="A15" s="25" t="s">
        <v>23</v>
      </c>
      <c r="B15" s="34">
        <v>250</v>
      </c>
      <c r="C15" s="34">
        <v>250</v>
      </c>
      <c r="D15" s="34">
        <v>50</v>
      </c>
      <c r="E15" s="35">
        <f t="shared" si="1"/>
        <v>550</v>
      </c>
      <c r="F15" s="16">
        <v>50</v>
      </c>
      <c r="G15" s="16">
        <v>50</v>
      </c>
      <c r="H15" s="16">
        <v>40</v>
      </c>
      <c r="I15" s="18">
        <f t="shared" si="2"/>
        <v>125</v>
      </c>
      <c r="J15" s="18">
        <f t="shared" si="2"/>
        <v>125</v>
      </c>
      <c r="K15" s="18">
        <f t="shared" si="2"/>
        <v>20</v>
      </c>
      <c r="L15" s="17">
        <f t="shared" si="3"/>
        <v>45.454545454545453</v>
      </c>
      <c r="M15" s="17">
        <f t="shared" si="4"/>
        <v>45.454545454545453</v>
      </c>
      <c r="N15" s="17">
        <f t="shared" si="5"/>
        <v>9.0909090909090917</v>
      </c>
      <c r="O15" s="34">
        <v>164</v>
      </c>
      <c r="P15" s="34">
        <v>100</v>
      </c>
      <c r="Q15" s="34">
        <v>31</v>
      </c>
      <c r="R15" s="21">
        <f t="shared" si="6"/>
        <v>100</v>
      </c>
      <c r="S15" s="21">
        <f t="shared" si="6"/>
        <v>80</v>
      </c>
      <c r="T15" s="21">
        <f t="shared" si="6"/>
        <v>100</v>
      </c>
      <c r="U15" s="36">
        <f t="shared" si="7"/>
        <v>45.454545454545453</v>
      </c>
      <c r="V15" s="36">
        <f t="shared" si="0"/>
        <v>36.36363636363636</v>
      </c>
      <c r="W15" s="36">
        <f t="shared" si="0"/>
        <v>9.0909090909090917</v>
      </c>
      <c r="X15" s="24">
        <f t="shared" si="8"/>
        <v>90.909090909090907</v>
      </c>
      <c r="Y15" s="28">
        <f>AVERAGE($Y$12,X15)</f>
        <v>88.030303030303031</v>
      </c>
    </row>
    <row r="16" spans="1:25" ht="17.25" x14ac:dyDescent="0.3">
      <c r="A16" s="13" t="s">
        <v>24</v>
      </c>
      <c r="B16" s="34">
        <v>250</v>
      </c>
      <c r="C16" s="34">
        <v>250</v>
      </c>
      <c r="D16" s="34">
        <v>50</v>
      </c>
      <c r="E16" s="35">
        <f t="shared" si="1"/>
        <v>550</v>
      </c>
      <c r="F16" s="16">
        <v>50</v>
      </c>
      <c r="G16" s="16">
        <v>50</v>
      </c>
      <c r="H16" s="16">
        <v>40</v>
      </c>
      <c r="I16" s="18">
        <f t="shared" si="2"/>
        <v>125</v>
      </c>
      <c r="J16" s="18">
        <f t="shared" si="2"/>
        <v>125</v>
      </c>
      <c r="K16" s="18">
        <f t="shared" si="2"/>
        <v>20</v>
      </c>
      <c r="L16" s="17">
        <f t="shared" si="3"/>
        <v>45.454545454545453</v>
      </c>
      <c r="M16" s="17">
        <f t="shared" si="4"/>
        <v>45.454545454545453</v>
      </c>
      <c r="N16" s="17">
        <f t="shared" si="5"/>
        <v>9.0909090909090917</v>
      </c>
      <c r="O16" s="34">
        <v>164</v>
      </c>
      <c r="P16" s="34">
        <v>110</v>
      </c>
      <c r="Q16" s="34">
        <v>34</v>
      </c>
      <c r="R16" s="21">
        <f t="shared" si="6"/>
        <v>100</v>
      </c>
      <c r="S16" s="21">
        <f t="shared" si="6"/>
        <v>88</v>
      </c>
      <c r="T16" s="21">
        <f t="shared" si="6"/>
        <v>100</v>
      </c>
      <c r="U16" s="36">
        <f t="shared" si="7"/>
        <v>45.454545454545453</v>
      </c>
      <c r="V16" s="36">
        <f t="shared" si="0"/>
        <v>40</v>
      </c>
      <c r="W16" s="36">
        <f t="shared" si="0"/>
        <v>9.0909090909090917</v>
      </c>
      <c r="X16" s="24">
        <f t="shared" si="8"/>
        <v>94.545454545454547</v>
      </c>
      <c r="Y16" s="24">
        <f>AVERAGE($Y$15,X16)</f>
        <v>91.287878787878782</v>
      </c>
    </row>
    <row r="17" spans="1:25" ht="17.25" x14ac:dyDescent="0.3">
      <c r="A17" s="13" t="s">
        <v>25</v>
      </c>
      <c r="B17" s="34">
        <v>250</v>
      </c>
      <c r="C17" s="34">
        <v>250</v>
      </c>
      <c r="D17" s="34">
        <v>50</v>
      </c>
      <c r="E17" s="35">
        <f t="shared" si="1"/>
        <v>550</v>
      </c>
      <c r="F17" s="16">
        <v>50</v>
      </c>
      <c r="G17" s="16">
        <v>50</v>
      </c>
      <c r="H17" s="16">
        <v>40</v>
      </c>
      <c r="I17" s="18">
        <f t="shared" si="2"/>
        <v>125</v>
      </c>
      <c r="J17" s="18">
        <f t="shared" si="2"/>
        <v>125</v>
      </c>
      <c r="K17" s="18">
        <f t="shared" si="2"/>
        <v>20</v>
      </c>
      <c r="L17" s="17">
        <f t="shared" si="3"/>
        <v>45.454545454545453</v>
      </c>
      <c r="M17" s="17">
        <f t="shared" si="4"/>
        <v>45.454545454545453</v>
      </c>
      <c r="N17" s="17">
        <f t="shared" si="5"/>
        <v>9.0909090909090917</v>
      </c>
      <c r="O17" s="34">
        <v>164</v>
      </c>
      <c r="P17" s="34">
        <v>110</v>
      </c>
      <c r="Q17" s="34">
        <v>37</v>
      </c>
      <c r="R17" s="21">
        <f t="shared" si="6"/>
        <v>100</v>
      </c>
      <c r="S17" s="21">
        <f t="shared" si="6"/>
        <v>88</v>
      </c>
      <c r="T17" s="21">
        <f t="shared" si="6"/>
        <v>100</v>
      </c>
      <c r="U17" s="36">
        <f t="shared" si="7"/>
        <v>45.454545454545453</v>
      </c>
      <c r="V17" s="36">
        <f t="shared" si="0"/>
        <v>40</v>
      </c>
      <c r="W17" s="36">
        <f t="shared" si="0"/>
        <v>9.0909090909090917</v>
      </c>
      <c r="X17" s="24">
        <f t="shared" si="8"/>
        <v>94.545454545454547</v>
      </c>
      <c r="Y17" s="24">
        <f t="shared" ref="Y17" si="10">AVERAGE($Y$15,X17)</f>
        <v>91.287878787878782</v>
      </c>
    </row>
    <row r="18" spans="1:25" ht="17.25" x14ac:dyDescent="0.3">
      <c r="A18" s="25" t="s">
        <v>26</v>
      </c>
      <c r="B18" s="34">
        <v>250</v>
      </c>
      <c r="C18" s="34">
        <v>250</v>
      </c>
      <c r="D18" s="34">
        <v>50</v>
      </c>
      <c r="E18" s="35">
        <f t="shared" si="1"/>
        <v>550</v>
      </c>
      <c r="F18" s="16">
        <v>50</v>
      </c>
      <c r="G18" s="16">
        <v>50</v>
      </c>
      <c r="H18" s="16">
        <v>40</v>
      </c>
      <c r="I18" s="18">
        <f t="shared" si="2"/>
        <v>125</v>
      </c>
      <c r="J18" s="18">
        <f t="shared" si="2"/>
        <v>125</v>
      </c>
      <c r="K18" s="18">
        <f t="shared" si="2"/>
        <v>20</v>
      </c>
      <c r="L18" s="17">
        <f t="shared" si="3"/>
        <v>45.454545454545453</v>
      </c>
      <c r="M18" s="17">
        <f t="shared" si="4"/>
        <v>45.454545454545453</v>
      </c>
      <c r="N18" s="17">
        <f t="shared" si="5"/>
        <v>9.0909090909090917</v>
      </c>
      <c r="O18" s="34">
        <v>164</v>
      </c>
      <c r="P18" s="34">
        <v>110</v>
      </c>
      <c r="Q18" s="34">
        <v>40</v>
      </c>
      <c r="R18" s="21">
        <f t="shared" si="6"/>
        <v>100</v>
      </c>
      <c r="S18" s="21">
        <f t="shared" si="6"/>
        <v>88</v>
      </c>
      <c r="T18" s="21">
        <f t="shared" si="6"/>
        <v>100</v>
      </c>
      <c r="U18" s="36">
        <f t="shared" si="7"/>
        <v>45.454545454545453</v>
      </c>
      <c r="V18" s="36">
        <f t="shared" si="0"/>
        <v>40</v>
      </c>
      <c r="W18" s="36">
        <f t="shared" si="0"/>
        <v>9.0909090909090917</v>
      </c>
      <c r="X18" s="24">
        <f t="shared" si="8"/>
        <v>94.545454545454547</v>
      </c>
      <c r="Y18" s="28">
        <f>AVERAGE($Y$15,X18)</f>
        <v>91.287878787878782</v>
      </c>
    </row>
  </sheetData>
  <mergeCells count="11">
    <mergeCell ref="Y4:Y5"/>
    <mergeCell ref="A2:Y2"/>
    <mergeCell ref="A4:A6"/>
    <mergeCell ref="B4:D4"/>
    <mergeCell ref="F4:H4"/>
    <mergeCell ref="I4:K4"/>
    <mergeCell ref="L4:N4"/>
    <mergeCell ref="O4:Q4"/>
    <mergeCell ref="R4:T4"/>
    <mergeCell ref="U4:W4"/>
    <mergeCell ref="X4:X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pola layar ui ux</vt:lpstr>
      <vt:lpstr>sheet 2 perhitungan terbaru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triandito gilang</dc:creator>
  <cp:lastModifiedBy>triandito gilang</cp:lastModifiedBy>
  <dcterms:created xsi:type="dcterms:W3CDTF">2026-09-05T03:04:55Z</dcterms:created>
  <dcterms:modified xsi:type="dcterms:W3CDTF">2026-09-05T03:19:18Z</dcterms:modified>
</cp:coreProperties>
</file>